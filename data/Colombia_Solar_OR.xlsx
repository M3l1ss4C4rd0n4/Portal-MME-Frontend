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hidePivotFieldList="1"/>
  <mc:AlternateContent xmlns:mc="http://schemas.openxmlformats.org/markup-compatibility/2006">
    <mc:Choice Requires="x15">
      <x15ac:absPath xmlns:x15ac="http://schemas.microsoft.com/office/spreadsheetml/2010/11/ac" url="https://minenergiacol.sharepoint.com/sites/msteams_c07b9d_609752/Shared Documents/General/19. PMO/1. Contratos OR/"/>
    </mc:Choice>
  </mc:AlternateContent>
  <xr:revisionPtr revIDLastSave="358" documentId="8_{E222DCDB-224A-4BAA-85D3-B197E45B5854}" xr6:coauthVersionLast="47" xr6:coauthVersionMax="47" xr10:uidLastSave="{15F8735B-A0DB-4397-ABA1-81CC005DE48C}"/>
  <bookViews>
    <workbookView xWindow="-98" yWindow="-98" windowWidth="21795" windowHeight="12975" tabRatio="585" firstSheet="2" activeTab="2" xr2:uid="{35CB9388-605D-4B7A-AAAC-3428EC08C937}"/>
  </bookViews>
  <sheets>
    <sheet name="Base General OR_Inicial" sheetId="6" state="hidden" r:id="rId1"/>
    <sheet name="Base General_OR_Inicial" sheetId="7" r:id="rId2"/>
    <sheet name="Base" sheetId="2" r:id="rId3"/>
    <sheet name="TD" sheetId="5" r:id="rId4"/>
    <sheet name="Curva S_Proyectada" sheetId="11" r:id="rId5"/>
    <sheet name="Curva S_Reportada" sheetId="12" r:id="rId6"/>
    <sheet name="Seguimiento Diario" sheetId="4" r:id="rId7"/>
    <sheet name="Curva S_GECELCA" sheetId="9" state="hidden" r:id="rId8"/>
    <sheet name="Curva S_Becerril" sheetId="10" state="hidden" r:id="rId9"/>
  </sheets>
  <externalReferences>
    <externalReference r:id="rId10"/>
  </externalReferences>
  <definedNames>
    <definedName name="_xlnm._FilterDatabase" localSheetId="2" hidden="1">Base!$C$2:$P$53</definedName>
    <definedName name="_xlnm._FilterDatabase" localSheetId="0" hidden="1">'Base General OR_Inicial'!$A$1:$M$20</definedName>
    <definedName name="_xlnm._FilterDatabase" localSheetId="1" hidden="1">'Base General_OR_Inicial'!$A$1:$K$20</definedName>
    <definedName name="_xlnm._FilterDatabase" localSheetId="4" hidden="1">'Curva S_Proyectada'!$F$34:$G$43</definedName>
  </definedNames>
  <calcPr calcId="191028"/>
  <pivotCaches>
    <pivotCache cacheId="70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Y20" i="12" l="1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Y20" i="11"/>
  <c r="R20" i="11"/>
  <c r="Q20" i="11"/>
  <c r="L20" i="11"/>
  <c r="K20" i="11"/>
  <c r="H20" i="11"/>
  <c r="AB18" i="11"/>
  <c r="AA18" i="11"/>
  <c r="Z18" i="11"/>
  <c r="S18" i="11"/>
  <c r="T18" i="11" s="1"/>
  <c r="U18" i="11" s="1"/>
  <c r="V18" i="11" s="1"/>
  <c r="W18" i="11" s="1"/>
  <c r="X18" i="11" s="1"/>
  <c r="M18" i="11"/>
  <c r="N18" i="11" s="1"/>
  <c r="O18" i="11" s="1"/>
  <c r="P18" i="11" s="1"/>
  <c r="J18" i="11"/>
  <c r="I18" i="11"/>
  <c r="AB17" i="11"/>
  <c r="AA17" i="11"/>
  <c r="Z17" i="11"/>
  <c r="S17" i="11"/>
  <c r="T17" i="11" s="1"/>
  <c r="U17" i="11" s="1"/>
  <c r="V17" i="11" s="1"/>
  <c r="W17" i="11" s="1"/>
  <c r="X17" i="11" s="1"/>
  <c r="M17" i="11"/>
  <c r="N17" i="11" s="1"/>
  <c r="O17" i="11" s="1"/>
  <c r="P17" i="11" s="1"/>
  <c r="I17" i="11"/>
  <c r="J17" i="11" s="1"/>
  <c r="AB16" i="11"/>
  <c r="AA16" i="11"/>
  <c r="Z16" i="11"/>
  <c r="S16" i="11"/>
  <c r="M16" i="11"/>
  <c r="AB15" i="11"/>
  <c r="AA15" i="11"/>
  <c r="Z15" i="11"/>
  <c r="S15" i="11"/>
  <c r="T15" i="11" s="1"/>
  <c r="U15" i="11" s="1"/>
  <c r="V15" i="11" s="1"/>
  <c r="W15" i="11" s="1"/>
  <c r="X15" i="11" s="1"/>
  <c r="M15" i="11"/>
  <c r="N15" i="11" s="1"/>
  <c r="O15" i="11" s="1"/>
  <c r="P15" i="11" s="1"/>
  <c r="I15" i="11"/>
  <c r="J15" i="11" s="1"/>
  <c r="AB14" i="11"/>
  <c r="AA14" i="11"/>
  <c r="Z14" i="11"/>
  <c r="S14" i="11"/>
  <c r="P14" i="11"/>
  <c r="AB13" i="11"/>
  <c r="AA13" i="11"/>
  <c r="Z13" i="11"/>
  <c r="S13" i="11"/>
  <c r="T13" i="11" s="1"/>
  <c r="U13" i="11" s="1"/>
  <c r="V13" i="11" s="1"/>
  <c r="W13" i="11" s="1"/>
  <c r="X13" i="11" s="1"/>
  <c r="M13" i="11"/>
  <c r="M20" i="11" s="1"/>
  <c r="I13" i="11"/>
  <c r="J13" i="11" s="1"/>
  <c r="AB12" i="11"/>
  <c r="AA12" i="11"/>
  <c r="Z12" i="11"/>
  <c r="AB11" i="11"/>
  <c r="AA11" i="11"/>
  <c r="Z11" i="11"/>
  <c r="AB10" i="11"/>
  <c r="AA10" i="11"/>
  <c r="Z10" i="11"/>
  <c r="S10" i="11"/>
  <c r="T10" i="11" s="1"/>
  <c r="U10" i="11" s="1"/>
  <c r="V10" i="11" s="1"/>
  <c r="W10" i="11" s="1"/>
  <c r="X10" i="11" s="1"/>
  <c r="M10" i="11"/>
  <c r="N10" i="11" s="1"/>
  <c r="O10" i="11" s="1"/>
  <c r="P10" i="11" s="1"/>
  <c r="I10" i="11"/>
  <c r="J10" i="11" s="1"/>
  <c r="AB9" i="11"/>
  <c r="AA9" i="11"/>
  <c r="Z9" i="11"/>
  <c r="AB8" i="11"/>
  <c r="AA8" i="11"/>
  <c r="Z8" i="11"/>
  <c r="AB7" i="11"/>
  <c r="AA7" i="11"/>
  <c r="Z7" i="11"/>
  <c r="AB6" i="11"/>
  <c r="AA6" i="11"/>
  <c r="Z6" i="11"/>
  <c r="AB5" i="11"/>
  <c r="AA5" i="11"/>
  <c r="Z5" i="11"/>
  <c r="AB4" i="11"/>
  <c r="AA4" i="11"/>
  <c r="Z4" i="11"/>
  <c r="AB3" i="11"/>
  <c r="AA3" i="11"/>
  <c r="Z3" i="11"/>
  <c r="S3" i="11"/>
  <c r="S20" i="11" s="1"/>
  <c r="M3" i="11"/>
  <c r="N3" i="11" s="1"/>
  <c r="I3" i="11"/>
  <c r="I20" i="11" s="1"/>
  <c r="AB2" i="11"/>
  <c r="AA2" i="11"/>
  <c r="Z2" i="11"/>
  <c r="B9" i="10"/>
  <c r="A1" i="10"/>
  <c r="D16" i="10"/>
  <c r="D15" i="10"/>
  <c r="D14" i="10"/>
  <c r="D13" i="10"/>
  <c r="D12" i="10"/>
  <c r="D11" i="10"/>
  <c r="D10" i="10"/>
  <c r="D9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D13" i="9"/>
  <c r="B13" i="9"/>
  <c r="D12" i="9"/>
  <c r="B12" i="9"/>
  <c r="D11" i="9"/>
  <c r="B11" i="9"/>
  <c r="D10" i="9"/>
  <c r="B10" i="9"/>
  <c r="D9" i="9"/>
  <c r="B9" i="9"/>
  <c r="B3" i="9"/>
  <c r="O3" i="11" l="1"/>
  <c r="T3" i="11"/>
  <c r="J3" i="11"/>
  <c r="J20" i="11" s="1"/>
  <c r="N13" i="11"/>
  <c r="O13" i="11" s="1"/>
  <c r="P13" i="11" s="1"/>
  <c r="G20" i="7"/>
  <c r="F20" i="7"/>
  <c r="E20" i="7"/>
  <c r="D20" i="7"/>
  <c r="T20" i="11" l="1"/>
  <c r="U3" i="11"/>
  <c r="N20" i="11"/>
  <c r="P3" i="11"/>
  <c r="P20" i="11" s="1"/>
  <c r="O20" i="11"/>
  <c r="H20" i="6"/>
  <c r="N3" i="6"/>
  <c r="N4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" i="6"/>
  <c r="G20" i="6"/>
  <c r="F20" i="6"/>
  <c r="E20" i="6"/>
  <c r="D20" i="6"/>
  <c r="U20" i="11" l="1"/>
  <c r="V3" i="11"/>
  <c r="M53" i="2"/>
  <c r="O53" i="2" s="1"/>
  <c r="M52" i="2"/>
  <c r="P52" i="2" s="1"/>
  <c r="M51" i="2"/>
  <c r="P51" i="2" s="1"/>
  <c r="M50" i="2"/>
  <c r="P50" i="2" s="1"/>
  <c r="M49" i="2"/>
  <c r="O49" i="2" s="1"/>
  <c r="M48" i="2"/>
  <c r="P48" i="2" s="1"/>
  <c r="M47" i="2"/>
  <c r="P47" i="2" s="1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4" i="4"/>
  <c r="M46" i="2"/>
  <c r="O46" i="2" s="1"/>
  <c r="M45" i="2"/>
  <c r="O45" i="2" s="1"/>
  <c r="M43" i="2"/>
  <c r="O43" i="2" s="1"/>
  <c r="M41" i="2"/>
  <c r="P41" i="2" s="1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F23" i="4"/>
  <c r="F24" i="4"/>
  <c r="M42" i="2" s="1"/>
  <c r="F25" i="4"/>
  <c r="F26" i="4"/>
  <c r="F27" i="4"/>
  <c r="F28" i="4"/>
  <c r="F29" i="4"/>
  <c r="F30" i="4"/>
  <c r="F31" i="4"/>
  <c r="F32" i="4"/>
  <c r="F33" i="4"/>
  <c r="F34" i="4"/>
  <c r="F35" i="4"/>
  <c r="E23" i="4"/>
  <c r="E24" i="4"/>
  <c r="E25" i="4"/>
  <c r="E26" i="4"/>
  <c r="M44" i="2" s="1"/>
  <c r="E27" i="4"/>
  <c r="E28" i="4"/>
  <c r="E29" i="4"/>
  <c r="E30" i="4"/>
  <c r="E31" i="4"/>
  <c r="E32" i="4"/>
  <c r="E33" i="4"/>
  <c r="E34" i="4"/>
  <c r="E35" i="4"/>
  <c r="P43" i="2"/>
  <c r="P46" i="2"/>
  <c r="P49" i="2"/>
  <c r="O48" i="2"/>
  <c r="M36" i="2"/>
  <c r="O36" i="2" s="1"/>
  <c r="M35" i="2"/>
  <c r="O35" i="2" s="1"/>
  <c r="G17" i="4"/>
  <c r="G18" i="4"/>
  <c r="G19" i="4"/>
  <c r="G20" i="4"/>
  <c r="G21" i="4"/>
  <c r="G22" i="4"/>
  <c r="F17" i="4"/>
  <c r="F18" i="4"/>
  <c r="F19" i="4"/>
  <c r="F20" i="4"/>
  <c r="F21" i="4"/>
  <c r="F22" i="4"/>
  <c r="M40" i="2" s="1"/>
  <c r="E17" i="4"/>
  <c r="E18" i="4"/>
  <c r="E19" i="4"/>
  <c r="M37" i="2" s="1"/>
  <c r="E20" i="4"/>
  <c r="M38" i="2" s="1"/>
  <c r="E21" i="4"/>
  <c r="M39" i="2" s="1"/>
  <c r="E22" i="4"/>
  <c r="G16" i="4"/>
  <c r="M34" i="2" s="1"/>
  <c r="F16" i="4"/>
  <c r="M33" i="2" s="1"/>
  <c r="E16" i="4"/>
  <c r="M32" i="2" s="1"/>
  <c r="O32" i="2" s="1"/>
  <c r="N30" i="2"/>
  <c r="B30" i="2"/>
  <c r="N28" i="2"/>
  <c r="N27" i="2"/>
  <c r="I28" i="2"/>
  <c r="I27" i="2"/>
  <c r="N25" i="2"/>
  <c r="N24" i="2"/>
  <c r="I25" i="2"/>
  <c r="I24" i="2"/>
  <c r="N22" i="2"/>
  <c r="N21" i="2"/>
  <c r="I22" i="2"/>
  <c r="I21" i="2"/>
  <c r="N19" i="2"/>
  <c r="N18" i="2"/>
  <c r="I19" i="2"/>
  <c r="I18" i="2"/>
  <c r="N17" i="2"/>
  <c r="N15" i="2"/>
  <c r="I15" i="2"/>
  <c r="N4" i="2"/>
  <c r="N5" i="2"/>
  <c r="N3" i="2"/>
  <c r="N13" i="2"/>
  <c r="I13" i="2"/>
  <c r="N11" i="2"/>
  <c r="I11" i="2"/>
  <c r="N9" i="2"/>
  <c r="I9" i="2"/>
  <c r="N7" i="2"/>
  <c r="N6" i="2"/>
  <c r="I4" i="2"/>
  <c r="I5" i="2"/>
  <c r="I3" i="2"/>
  <c r="I7" i="2"/>
  <c r="I6" i="2"/>
  <c r="M14" i="2"/>
  <c r="M9" i="2"/>
  <c r="M7" i="2"/>
  <c r="G6" i="4"/>
  <c r="M10" i="2" s="1"/>
  <c r="G7" i="4"/>
  <c r="M12" i="2" s="1"/>
  <c r="G8" i="4"/>
  <c r="G9" i="4"/>
  <c r="M16" i="2" s="1"/>
  <c r="F6" i="4"/>
  <c r="F7" i="4"/>
  <c r="M11" i="2" s="1"/>
  <c r="P11" i="2" s="1"/>
  <c r="F8" i="4"/>
  <c r="M13" i="2" s="1"/>
  <c r="P13" i="2" s="1"/>
  <c r="F9" i="4"/>
  <c r="M15" i="2" s="1"/>
  <c r="E5" i="4"/>
  <c r="M6" i="2" s="1"/>
  <c r="P6" i="2" s="1"/>
  <c r="E6" i="4"/>
  <c r="E7" i="4"/>
  <c r="E8" i="4"/>
  <c r="E9" i="4"/>
  <c r="L16" i="2"/>
  <c r="I16" i="2" s="1"/>
  <c r="L14" i="2"/>
  <c r="I14" i="2" s="1"/>
  <c r="L12" i="2"/>
  <c r="N12" i="2" s="1"/>
  <c r="L10" i="2"/>
  <c r="I10" i="2" s="1"/>
  <c r="O4" i="4"/>
  <c r="E4" i="4" s="1"/>
  <c r="M3" i="2" s="1"/>
  <c r="P3" i="2" s="1"/>
  <c r="L23" i="2"/>
  <c r="I23" i="2" s="1"/>
  <c r="G5" i="4"/>
  <c r="M8" i="2" s="1"/>
  <c r="G10" i="4"/>
  <c r="M17" i="2" s="1"/>
  <c r="P17" i="2" s="1"/>
  <c r="G11" i="4"/>
  <c r="M20" i="2" s="1"/>
  <c r="G12" i="4"/>
  <c r="M23" i="2" s="1"/>
  <c r="G13" i="4"/>
  <c r="M26" i="2" s="1"/>
  <c r="G14" i="4"/>
  <c r="M29" i="2" s="1"/>
  <c r="G15" i="4"/>
  <c r="M31" i="2" s="1"/>
  <c r="F5" i="4"/>
  <c r="F10" i="4"/>
  <c r="F11" i="4"/>
  <c r="M19" i="2" s="1"/>
  <c r="P19" i="2" s="1"/>
  <c r="F12" i="4"/>
  <c r="M22" i="2" s="1"/>
  <c r="P22" i="2" s="1"/>
  <c r="F13" i="4"/>
  <c r="M25" i="2" s="1"/>
  <c r="P25" i="2" s="1"/>
  <c r="F14" i="4"/>
  <c r="M28" i="2" s="1"/>
  <c r="P28" i="2" s="1"/>
  <c r="F15" i="4"/>
  <c r="E10" i="4"/>
  <c r="E11" i="4"/>
  <c r="M18" i="2" s="1"/>
  <c r="P18" i="2" s="1"/>
  <c r="E12" i="4"/>
  <c r="M21" i="2" s="1"/>
  <c r="P21" i="2" s="1"/>
  <c r="E13" i="4"/>
  <c r="M24" i="2" s="1"/>
  <c r="P24" i="2" s="1"/>
  <c r="E14" i="4"/>
  <c r="M27" i="2" s="1"/>
  <c r="P27" i="2" s="1"/>
  <c r="E15" i="4"/>
  <c r="M30" i="2" s="1"/>
  <c r="P30" i="2" s="1"/>
  <c r="G4" i="4"/>
  <c r="M5" i="2" s="1"/>
  <c r="P5" i="2" s="1"/>
  <c r="F4" i="4"/>
  <c r="M4" i="2" s="1"/>
  <c r="P4" i="2" s="1"/>
  <c r="L31" i="2"/>
  <c r="N31" i="2" s="1"/>
  <c r="O31" i="2" s="1"/>
  <c r="L29" i="2"/>
  <c r="N29" i="2" s="1"/>
  <c r="L26" i="2"/>
  <c r="N26" i="2" s="1"/>
  <c r="L20" i="2"/>
  <c r="N20" i="2" s="1"/>
  <c r="L8" i="2"/>
  <c r="I8" i="2" s="1"/>
  <c r="V20" i="11" l="1"/>
  <c r="W3" i="11"/>
  <c r="O52" i="2"/>
  <c r="O24" i="2"/>
  <c r="O18" i="2"/>
  <c r="O19" i="2"/>
  <c r="O41" i="2"/>
  <c r="P53" i="2"/>
  <c r="O28" i="2"/>
  <c r="O30" i="2"/>
  <c r="O47" i="2"/>
  <c r="O51" i="2"/>
  <c r="P32" i="2"/>
  <c r="O50" i="2"/>
  <c r="N10" i="2"/>
  <c r="O10" i="2" s="1"/>
  <c r="O42" i="2"/>
  <c r="P42" i="2"/>
  <c r="P15" i="2"/>
  <c r="O15" i="2"/>
  <c r="O44" i="2"/>
  <c r="P44" i="2"/>
  <c r="O39" i="2"/>
  <c r="P39" i="2"/>
  <c r="O38" i="2"/>
  <c r="P38" i="2"/>
  <c r="O37" i="2"/>
  <c r="P37" i="2"/>
  <c r="O33" i="2"/>
  <c r="P33" i="2"/>
  <c r="P40" i="2"/>
  <c r="O40" i="2"/>
  <c r="O22" i="2"/>
  <c r="O6" i="2"/>
  <c r="O13" i="2"/>
  <c r="O7" i="2"/>
  <c r="O3" i="2"/>
  <c r="P45" i="2"/>
  <c r="P36" i="2"/>
  <c r="O9" i="2"/>
  <c r="O4" i="2"/>
  <c r="O25" i="2"/>
  <c r="P35" i="2"/>
  <c r="O11" i="2"/>
  <c r="O21" i="2"/>
  <c r="O27" i="2"/>
  <c r="O17" i="2"/>
  <c r="O34" i="2"/>
  <c r="P34" i="2"/>
  <c r="O12" i="2"/>
  <c r="O20" i="2"/>
  <c r="O26" i="2"/>
  <c r="O29" i="2"/>
  <c r="O5" i="2"/>
  <c r="I29" i="2"/>
  <c r="N16" i="2"/>
  <c r="O16" i="2" s="1"/>
  <c r="N23" i="2"/>
  <c r="O23" i="2" s="1"/>
  <c r="N14" i="2"/>
  <c r="O14" i="2" s="1"/>
  <c r="I12" i="2"/>
  <c r="I20" i="2"/>
  <c r="N8" i="2"/>
  <c r="O8" i="2" s="1"/>
  <c r="I26" i="2"/>
  <c r="I31" i="2"/>
  <c r="I30" i="2"/>
  <c r="P10" i="2"/>
  <c r="P12" i="2"/>
  <c r="P16" i="2"/>
  <c r="P14" i="2"/>
  <c r="P9" i="2"/>
  <c r="P26" i="2"/>
  <c r="P31" i="2"/>
  <c r="P23" i="2"/>
  <c r="P29" i="2"/>
  <c r="P8" i="2"/>
  <c r="P20" i="2"/>
  <c r="P7" i="2"/>
  <c r="W20" i="11" l="1"/>
  <c r="X3" i="11"/>
  <c r="X20" i="11" s="1"/>
</calcChain>
</file>

<file path=xl/sharedStrings.xml><?xml version="1.0" encoding="utf-8"?>
<sst xmlns="http://schemas.openxmlformats.org/spreadsheetml/2006/main" count="921" uniqueCount="211">
  <si>
    <t>N°</t>
  </si>
  <si>
    <t>DEPARTAMENTO</t>
  </si>
  <si>
    <t>MUNICIPIO</t>
  </si>
  <si>
    <t>VALOR</t>
  </si>
  <si>
    <t>N° CE</t>
  </si>
  <si>
    <t>USUARIOS</t>
  </si>
  <si>
    <t>Potencia (mWp)</t>
  </si>
  <si>
    <t>Potencia ((kWp) </t>
  </si>
  <si>
    <t>Fecha Inicial</t>
  </si>
  <si>
    <t>OR/Generador</t>
  </si>
  <si>
    <t>TIPO DE PROYECTO</t>
  </si>
  <si>
    <t>ZONA</t>
  </si>
  <si>
    <t>AMAZONAS</t>
  </si>
  <si>
    <t>ENAM</t>
  </si>
  <si>
    <t>CENTRALIZADO</t>
  </si>
  <si>
    <t>ZNI</t>
  </si>
  <si>
    <t>CAQUETA</t>
  </si>
  <si>
    <t>CARTAGENA DEL CHAIIRA</t>
  </si>
  <si>
    <t>GENSA</t>
  </si>
  <si>
    <t>INDIVIDUALES</t>
  </si>
  <si>
    <t>CESAR</t>
  </si>
  <si>
    <t>BECERRIL</t>
  </si>
  <si>
    <t>ELECTROCAQUETA</t>
  </si>
  <si>
    <t>INDIVUDUALES</t>
  </si>
  <si>
    <t>CURUMANI</t>
  </si>
  <si>
    <t>CHOCO</t>
  </si>
  <si>
    <t>NUQUI</t>
  </si>
  <si>
    <t>DISPAC</t>
  </si>
  <si>
    <t>BAHIA SOLANO</t>
  </si>
  <si>
    <t>LA GUAJIRA</t>
  </si>
  <si>
    <t>MAICAO Y ALBANIA</t>
  </si>
  <si>
    <t>URIBIA</t>
  </si>
  <si>
    <t>MAGDALENA</t>
  </si>
  <si>
    <t>SANTA MARTA</t>
  </si>
  <si>
    <t>META</t>
  </si>
  <si>
    <t>LA URIBE</t>
  </si>
  <si>
    <t>NARIÑO</t>
  </si>
  <si>
    <t>RICAURTE</t>
  </si>
  <si>
    <t>NORTE DE SANTANDER</t>
  </si>
  <si>
    <t>TEORAMA
EL CARMEN
CONVENCIÓN
HACARI
SAN CALIXTO
TIBU</t>
  </si>
  <si>
    <t>PUTUMAYO</t>
  </si>
  <si>
    <t>SAN MIGUEL</t>
  </si>
  <si>
    <t>VALLE DEL GUAMUEZ</t>
  </si>
  <si>
    <t>VILLA GARZON</t>
  </si>
  <si>
    <t>PUERTO GUZMAN</t>
  </si>
  <si>
    <t>SANTANDER</t>
  </si>
  <si>
    <t>Bolivar, Charalá, El Peñón, Florian, La Belleza, Landazuri, Ocamonte, Simac ota, Sucre, zapatoca</t>
  </si>
  <si>
    <t>GUACA</t>
  </si>
  <si>
    <t>TOTAL</t>
  </si>
  <si>
    <t>CONTRATISTA/ENTIDAD</t>
  </si>
  <si>
    <t>PROYECTO</t>
  </si>
  <si>
    <t>PROGRAMA</t>
  </si>
  <si>
    <t>TIPO DE SOLUCIÓN</t>
  </si>
  <si>
    <t>INVERSIÓN</t>
  </si>
  <si>
    <t>FECHA</t>
  </si>
  <si>
    <t>MES</t>
  </si>
  <si>
    <t>PLANEADO (USUARIOS)</t>
  </si>
  <si>
    <t>EJECUTADO (USUARIOS)</t>
  </si>
  <si>
    <t>CAPACIDAD (kWp) (PLANEADA)</t>
  </si>
  <si>
    <t>CAPACIDAD (kWp) (EJECUTADA)</t>
  </si>
  <si>
    <t>EFICIENCIA</t>
  </si>
  <si>
    <t>Electrocaqueta</t>
  </si>
  <si>
    <t>Cesar</t>
  </si>
  <si>
    <t>Becerril</t>
  </si>
  <si>
    <t>Comunidades Energéticas OR</t>
  </si>
  <si>
    <t>Individual</t>
  </si>
  <si>
    <t>Mayo</t>
  </si>
  <si>
    <t>Junio</t>
  </si>
  <si>
    <t>Julio</t>
  </si>
  <si>
    <t>Curumaní</t>
  </si>
  <si>
    <t>Magdalena</t>
  </si>
  <si>
    <t>Santa Marta</t>
  </si>
  <si>
    <t>Santander</t>
  </si>
  <si>
    <t>Guaca</t>
  </si>
  <si>
    <t>Nariño</t>
  </si>
  <si>
    <t>Ricaurte</t>
  </si>
  <si>
    <t>Norte de Santander</t>
  </si>
  <si>
    <t>Dispac</t>
  </si>
  <si>
    <t>La Guajira</t>
  </si>
  <si>
    <t>Maicao y Albania</t>
  </si>
  <si>
    <t>Gensa</t>
  </si>
  <si>
    <t>Caqueta</t>
  </si>
  <si>
    <t>Cartagena del Chaiira</t>
  </si>
  <si>
    <t>Meta</t>
  </si>
  <si>
    <t xml:space="preserve">La Uribe  </t>
  </si>
  <si>
    <t>Uribia</t>
  </si>
  <si>
    <t>Putumayo</t>
  </si>
  <si>
    <t>San Miguel, Valle del Guamuez,Villa Garzon,Puerto Guzman</t>
  </si>
  <si>
    <t>Gecelca</t>
  </si>
  <si>
    <t>Atlantico</t>
  </si>
  <si>
    <t>Villas de San Pablo</t>
  </si>
  <si>
    <t>Colombia Solar</t>
  </si>
  <si>
    <t>IPSE</t>
  </si>
  <si>
    <t>MANAURE</t>
  </si>
  <si>
    <t>Cauca</t>
  </si>
  <si>
    <t>ARGELIA, PATÍA, PIENDAMÓ, TUNÍA, SOTARÁ</t>
  </si>
  <si>
    <t>GUAPI</t>
  </si>
  <si>
    <t>LOPEZ DE MICAY</t>
  </si>
  <si>
    <t>ALBANIA</t>
  </si>
  <si>
    <t>Vichada</t>
  </si>
  <si>
    <t>LA PRIMAVERA</t>
  </si>
  <si>
    <t>FENOGE</t>
  </si>
  <si>
    <t>Región 2 Caquetá</t>
  </si>
  <si>
    <t>Florencia</t>
  </si>
  <si>
    <t>Fenoge 1.0 y 1.1</t>
  </si>
  <si>
    <t>Centralizadas</t>
  </si>
  <si>
    <t>Región 3 Meta, Casanare y Arauca</t>
  </si>
  <si>
    <t>Vista Hermosa (235 kWp)</t>
  </si>
  <si>
    <t>La Uribe (30 kWp)</t>
  </si>
  <si>
    <t>Vista Hermosa (1.000 kWp)</t>
  </si>
  <si>
    <t>Arauquita (1.000 kWp)</t>
  </si>
  <si>
    <t>Región 5 Huila y Tolima</t>
  </si>
  <si>
    <t>Agrado</t>
  </si>
  <si>
    <t>Chaparral</t>
  </si>
  <si>
    <t>Agosto</t>
  </si>
  <si>
    <t>Región 6 Cundinamarca</t>
  </si>
  <si>
    <t>Beltrán</t>
  </si>
  <si>
    <t>Región 8 Boyacá, Santander y Norte de Santander</t>
  </si>
  <si>
    <t>Barrancabermeja</t>
  </si>
  <si>
    <t>Villa de Leyva</t>
  </si>
  <si>
    <t>Tibú</t>
  </si>
  <si>
    <t>Región 11 Atlántico, Magdalena, César y Guajira</t>
  </si>
  <si>
    <t>Jagua de Ibirico (2)</t>
  </si>
  <si>
    <t>Riohacha</t>
  </si>
  <si>
    <t>(Varios elementos)</t>
  </si>
  <si>
    <t>(Todas)</t>
  </si>
  <si>
    <t>Valores</t>
  </si>
  <si>
    <t>CONTRATISTA</t>
  </si>
  <si>
    <t>Suma de PLANEADO (USUARIOS)</t>
  </si>
  <si>
    <t>Suma de EJECUTADO (USUARIOS)</t>
  </si>
  <si>
    <t>Suma de CAPACIDAD (kWp) (PLANEADA)</t>
  </si>
  <si>
    <t>Suma de CAPACIDAD (kWp) (EJECUTADA)</t>
  </si>
  <si>
    <t>Suma de EFICIENCIA</t>
  </si>
  <si>
    <t>Suma de INVERSIÓN</t>
  </si>
  <si>
    <t>Total Dispac</t>
  </si>
  <si>
    <t>Total Electrocaqueta</t>
  </si>
  <si>
    <t>Total Gensa</t>
  </si>
  <si>
    <t>Total Gecelca</t>
  </si>
  <si>
    <t>Total IPSE</t>
  </si>
  <si>
    <t>Total FENOGE</t>
  </si>
  <si>
    <t>Total general</t>
  </si>
  <si>
    <t>Proyecto</t>
  </si>
  <si>
    <t>Departamento</t>
  </si>
  <si>
    <t>Municipio</t>
  </si>
  <si>
    <t>Operador de Red</t>
  </si>
  <si>
    <t>Inversion</t>
  </si>
  <si>
    <t>Potencia a Instalar MWp</t>
  </si>
  <si>
    <t>Usuarios Totales</t>
  </si>
  <si>
    <t>05/05/2026</t>
  </si>
  <si>
    <t>10/05/2026</t>
  </si>
  <si>
    <t>15/05/2026</t>
  </si>
  <si>
    <t>20/05/2026</t>
  </si>
  <si>
    <t>25/05/2026</t>
  </si>
  <si>
    <t>30/05/2026</t>
  </si>
  <si>
    <t>04/06/2026</t>
  </si>
  <si>
    <t>09/06/2026</t>
  </si>
  <si>
    <t>14/06/2026</t>
  </si>
  <si>
    <t>20/06/2026</t>
  </si>
  <si>
    <t>25/06/2026</t>
  </si>
  <si>
    <t>30/06/2026</t>
  </si>
  <si>
    <t>05/07/2026</t>
  </si>
  <si>
    <t>10/07/2026</t>
  </si>
  <si>
    <t>15/07/2026</t>
  </si>
  <si>
    <t>20/07/2026</t>
  </si>
  <si>
    <t>25/07/2026</t>
  </si>
  <si>
    <t>30/07/2026</t>
  </si>
  <si>
    <t>potencia instalar 20/05/2026</t>
  </si>
  <si>
    <t>potencia instalar 20/06/2027</t>
  </si>
  <si>
    <t>potencia instalar 30/07/2028</t>
  </si>
  <si>
    <t>Nuqui</t>
  </si>
  <si>
    <t>Chocó</t>
  </si>
  <si>
    <t>Bahia Solano</t>
  </si>
  <si>
    <t>Maicao Y Albania</t>
  </si>
  <si>
    <t>Maicao  Y Albania</t>
  </si>
  <si>
    <t>Norte De Santander</t>
  </si>
  <si>
    <t>Teorama, El Carmen, Convención, Hacari, San Calixto, Tibu</t>
  </si>
  <si>
    <t xml:space="preserve">Santa Marta </t>
  </si>
  <si>
    <t>Santander 11 Municipios</t>
  </si>
  <si>
    <t>Bolivar, Charalá, El Peñón, Florian, La Belleza, Landazuri, Ocamonte, Simacota, Sucre, Zapatoca</t>
  </si>
  <si>
    <t>Santander - Guaca</t>
  </si>
  <si>
    <t xml:space="preserve">Guaca  </t>
  </si>
  <si>
    <t>La Uribe</t>
  </si>
  <si>
    <t xml:space="preserve">Becerril </t>
  </si>
  <si>
    <t>Curumani</t>
  </si>
  <si>
    <t>San Miguel</t>
  </si>
  <si>
    <t>Valle Del Guamuez</t>
  </si>
  <si>
    <t>Villa Garzon</t>
  </si>
  <si>
    <t>Puerto Guzman</t>
  </si>
  <si>
    <t>Cartagena Del Chaira</t>
  </si>
  <si>
    <t>Caquetá</t>
  </si>
  <si>
    <t>DATOS GENERALES</t>
  </si>
  <si>
    <t>MAYO</t>
  </si>
  <si>
    <t>JUNIO</t>
  </si>
  <si>
    <t>JULIO</t>
  </si>
  <si>
    <t>EJECUTADO MAYO</t>
  </si>
  <si>
    <t>EJECUTADO JUNIO</t>
  </si>
  <si>
    <t>EJECUTADO JULIO</t>
  </si>
  <si>
    <t>EJECUTADO AGOSTO</t>
  </si>
  <si>
    <t>Total usuarios</t>
  </si>
  <si>
    <t>Curva S proyectada - GECELCA</t>
  </si>
  <si>
    <t>Meta 20%</t>
  </si>
  <si>
    <t>Inicio constructivo</t>
  </si>
  <si>
    <t>Fecha meta</t>
  </si>
  <si>
    <t>PROYECTADO</t>
  </si>
  <si>
    <t>EJECUTADO</t>
  </si>
  <si>
    <t>Fecha</t>
  </si>
  <si>
    <t>Usuarios Planeados Acumulados</t>
  </si>
  <si>
    <t>Usuarios</t>
  </si>
  <si>
    <t>Usuarios Ejecutados Acumulados</t>
  </si>
  <si>
    <t>Curva S proyectada - BECERRIL</t>
  </si>
  <si>
    <t>Meta 64% ( 11 Jun)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</si>
</sst>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64" formatCode="&quot;$&quot;\ #,##0;[Red]\-&quot;$&quot;\ #,##0"/>
    <numFmt numFmtId="165" formatCode="&quot;$&quot;\ #,##0.00;[Red]\-&quot;$&quot;\ #,##0.00"/>
    <numFmt numFmtId="166" formatCode="_-&quot;$&quot;\ * #,##0.00_-;\-&quot;$&quot;\ * #,##0.00_-;_-&quot;$&quot;\ * &quot;-&quot;??_-;_-@_-"/>
    <numFmt numFmtId="167" formatCode="dd/mm/yyyy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1"/>
      <name val="Carlito"/>
    </font>
    <font>
      <sz val="11"/>
      <name val="Times New Roman"/>
      <family val="1"/>
    </font>
    <font>
      <b/>
      <sz val="11"/>
      <name val="Times New Roman"/>
      <family val="1"/>
    </font>
    <font>
      <b/>
      <sz val="11"/>
      <name val="Arial"/>
      <family val="2"/>
    </font>
    <font>
      <b/>
      <sz val="16"/>
      <name val="Arial"/>
      <family val="2"/>
    </font>
    <font>
      <sz val="12"/>
      <name val="Times New Roman"/>
      <family val="1"/>
    </font>
    <font>
      <b/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10"/>
      <name val="Aptos Narrow"/>
      <family val="2"/>
      <scheme val="minor"/>
    </font>
    <font>
      <sz val="1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9EAF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166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</cellStyleXfs>
  <cellXfs count="130">
    <xf numFmtId="0" fontId="0" fillId="0" borderId="0" xfId="0"/>
    <xf numFmtId="0" fontId="0" fillId="0" borderId="0" xfId="0" applyAlignment="1">
      <alignment horizontal="center"/>
    </xf>
    <xf numFmtId="9" fontId="0" fillId="0" borderId="0" xfId="2" applyFont="1" applyAlignment="1">
      <alignment horizontal="center"/>
    </xf>
    <xf numFmtId="16" fontId="0" fillId="0" borderId="0" xfId="0" applyNumberFormat="1"/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0" xfId="0" pivotButton="1"/>
    <xf numFmtId="0" fontId="3" fillId="0" borderId="1" xfId="0" applyFont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16" fontId="0" fillId="2" borderId="1" xfId="0" applyNumberFormat="1" applyFill="1" applyBorder="1"/>
    <xf numFmtId="16" fontId="0" fillId="4" borderId="1" xfId="0" applyNumberFormat="1" applyFill="1" applyBorder="1"/>
    <xf numFmtId="16" fontId="0" fillId="5" borderId="1" xfId="0" applyNumberFormat="1" applyFill="1" applyBorder="1"/>
    <xf numFmtId="9" fontId="0" fillId="0" borderId="0" xfId="0" applyNumberFormat="1"/>
    <xf numFmtId="3" fontId="0" fillId="0" borderId="0" xfId="0" applyNumberFormat="1"/>
    <xf numFmtId="16" fontId="0" fillId="0" borderId="0" xfId="0" applyNumberFormat="1" applyAlignment="1">
      <alignment horizontal="center"/>
    </xf>
    <xf numFmtId="0" fontId="4" fillId="3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166" fontId="0" fillId="0" borderId="0" xfId="1" applyFont="1"/>
    <xf numFmtId="166" fontId="0" fillId="0" borderId="0" xfId="0" applyNumberFormat="1"/>
    <xf numFmtId="2" fontId="0" fillId="0" borderId="0" xfId="0" applyNumberFormat="1" applyAlignment="1">
      <alignment horizontal="center"/>
    </xf>
    <xf numFmtId="0" fontId="4" fillId="7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0" fillId="0" borderId="0" xfId="0" applyAlignment="1">
      <alignment horizontal="left"/>
    </xf>
    <xf numFmtId="16" fontId="0" fillId="7" borderId="1" xfId="0" applyNumberFormat="1" applyFill="1" applyBorder="1"/>
    <xf numFmtId="2" fontId="0" fillId="0" borderId="0" xfId="0" applyNumberFormat="1"/>
    <xf numFmtId="0" fontId="0" fillId="0" borderId="0" xfId="0" pivotButton="1" applyAlignment="1">
      <alignment vertical="center" wrapText="1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0" fontId="0" fillId="0" borderId="6" xfId="0" applyBorder="1"/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wrapText="1"/>
    </xf>
    <xf numFmtId="0" fontId="0" fillId="0" borderId="7" xfId="0" applyBorder="1"/>
    <xf numFmtId="165" fontId="0" fillId="0" borderId="7" xfId="0" applyNumberFormat="1" applyBorder="1"/>
    <xf numFmtId="0" fontId="0" fillId="0" borderId="7" xfId="0" applyBorder="1" applyAlignment="1">
      <alignment horizontal="center"/>
    </xf>
    <xf numFmtId="0" fontId="0" fillId="0" borderId="8" xfId="0" applyBorder="1"/>
    <xf numFmtId="164" fontId="0" fillId="8" borderId="10" xfId="0" applyNumberFormat="1" applyFill="1" applyBorder="1"/>
    <xf numFmtId="4" fontId="0" fillId="8" borderId="10" xfId="0" applyNumberFormat="1" applyFill="1" applyBorder="1"/>
    <xf numFmtId="0" fontId="0" fillId="8" borderId="10" xfId="0" applyFill="1" applyBorder="1"/>
    <xf numFmtId="0" fontId="0" fillId="8" borderId="11" xfId="0" applyFill="1" applyBorder="1"/>
    <xf numFmtId="16" fontId="0" fillId="0" borderId="1" xfId="0" applyNumberFormat="1" applyBorder="1" applyAlignment="1">
      <alignment horizontal="center"/>
    </xf>
    <xf numFmtId="0" fontId="6" fillId="0" borderId="0" xfId="3" applyFont="1" applyAlignment="1">
      <alignment vertical="center" wrapText="1"/>
    </xf>
    <xf numFmtId="0" fontId="5" fillId="0" borderId="0" xfId="3" applyAlignment="1">
      <alignment vertical="center" wrapText="1"/>
    </xf>
    <xf numFmtId="0" fontId="7" fillId="0" borderId="0" xfId="3" applyFont="1" applyAlignment="1">
      <alignment vertical="center" wrapText="1"/>
    </xf>
    <xf numFmtId="3" fontId="8" fillId="0" borderId="0" xfId="3" applyNumberFormat="1" applyFont="1" applyAlignment="1">
      <alignment horizontal="center" vertical="center" wrapText="1"/>
    </xf>
    <xf numFmtId="167" fontId="8" fillId="0" borderId="0" xfId="3" applyNumberFormat="1" applyFont="1" applyAlignment="1">
      <alignment horizontal="center" vertical="center" wrapText="1"/>
    </xf>
    <xf numFmtId="0" fontId="7" fillId="11" borderId="17" xfId="3" applyFont="1" applyFill="1" applyBorder="1" applyAlignment="1">
      <alignment horizontal="center" vertical="center" wrapText="1"/>
    </xf>
    <xf numFmtId="0" fontId="7" fillId="9" borderId="19" xfId="3" applyFont="1" applyFill="1" applyBorder="1" applyAlignment="1">
      <alignment horizontal="center" vertical="center" wrapText="1"/>
    </xf>
    <xf numFmtId="0" fontId="7" fillId="9" borderId="9" xfId="3" applyFont="1" applyFill="1" applyBorder="1" applyAlignment="1">
      <alignment horizontal="center" vertical="center" wrapText="1"/>
    </xf>
    <xf numFmtId="0" fontId="7" fillId="10" borderId="9" xfId="3" applyFont="1" applyFill="1" applyBorder="1" applyAlignment="1">
      <alignment horizontal="center" vertical="center" wrapText="1"/>
    </xf>
    <xf numFmtId="0" fontId="7" fillId="10" borderId="10" xfId="3" applyFont="1" applyFill="1" applyBorder="1" applyAlignment="1">
      <alignment horizontal="center" vertical="center" wrapText="1"/>
    </xf>
    <xf numFmtId="167" fontId="6" fillId="0" borderId="20" xfId="3" applyNumberFormat="1" applyFont="1" applyBorder="1" applyAlignment="1">
      <alignment horizontal="center" vertical="center" wrapText="1"/>
    </xf>
    <xf numFmtId="1" fontId="10" fillId="0" borderId="21" xfId="4" applyNumberFormat="1" applyFont="1" applyFill="1" applyBorder="1" applyAlignment="1">
      <alignment horizontal="center" vertical="center" wrapText="1"/>
    </xf>
    <xf numFmtId="0" fontId="10" fillId="0" borderId="21" xfId="3" applyFont="1" applyBorder="1" applyAlignment="1">
      <alignment horizontal="center" vertical="center" wrapText="1"/>
    </xf>
    <xf numFmtId="1" fontId="10" fillId="0" borderId="22" xfId="3" applyNumberFormat="1" applyFont="1" applyBorder="1" applyAlignment="1">
      <alignment horizontal="center" vertical="center" wrapText="1"/>
    </xf>
    <xf numFmtId="1" fontId="10" fillId="0" borderId="1" xfId="3" applyNumberFormat="1" applyFont="1" applyBorder="1" applyAlignment="1">
      <alignment horizontal="center" vertical="center" wrapText="1"/>
    </xf>
    <xf numFmtId="9" fontId="0" fillId="0" borderId="0" xfId="4" applyFont="1" applyAlignment="1">
      <alignment vertical="center" wrapText="1"/>
    </xf>
    <xf numFmtId="1" fontId="5" fillId="0" borderId="0" xfId="3" applyNumberFormat="1" applyAlignment="1">
      <alignment vertical="center" wrapText="1"/>
    </xf>
    <xf numFmtId="16" fontId="6" fillId="0" borderId="20" xfId="3" applyNumberFormat="1" applyFont="1" applyBorder="1" applyAlignment="1">
      <alignment horizontal="center" vertical="center" wrapText="1"/>
    </xf>
    <xf numFmtId="0" fontId="7" fillId="7" borderId="19" xfId="3" applyFont="1" applyFill="1" applyBorder="1" applyAlignment="1">
      <alignment horizontal="center" vertical="center" wrapText="1"/>
    </xf>
    <xf numFmtId="0" fontId="7" fillId="7" borderId="9" xfId="3" applyFont="1" applyFill="1" applyBorder="1" applyAlignment="1">
      <alignment horizontal="center" vertical="center" wrapText="1"/>
    </xf>
    <xf numFmtId="0" fontId="7" fillId="13" borderId="9" xfId="3" applyFont="1" applyFill="1" applyBorder="1" applyAlignment="1">
      <alignment horizontal="center" vertical="center" wrapText="1"/>
    </xf>
    <xf numFmtId="0" fontId="7" fillId="13" borderId="10" xfId="3" applyFont="1" applyFill="1" applyBorder="1" applyAlignment="1">
      <alignment horizontal="center" vertical="center" wrapText="1"/>
    </xf>
    <xf numFmtId="9" fontId="6" fillId="0" borderId="0" xfId="2" applyFont="1" applyAlignment="1">
      <alignment vertical="center" wrapText="1"/>
    </xf>
    <xf numFmtId="0" fontId="11" fillId="13" borderId="23" xfId="0" applyFont="1" applyFill="1" applyBorder="1" applyAlignment="1">
      <alignment horizontal="center" vertical="center" wrapText="1"/>
    </xf>
    <xf numFmtId="0" fontId="11" fillId="13" borderId="22" xfId="0" applyFont="1" applyFill="1" applyBorder="1" applyAlignment="1">
      <alignment horizontal="center" vertical="center" wrapText="1"/>
    </xf>
    <xf numFmtId="167" fontId="11" fillId="13" borderId="22" xfId="0" applyNumberFormat="1" applyFont="1" applyFill="1" applyBorder="1" applyAlignment="1">
      <alignment horizontal="center" vertical="center" wrapText="1"/>
    </xf>
    <xf numFmtId="0" fontId="12" fillId="13" borderId="22" xfId="0" applyFont="1" applyFill="1" applyBorder="1" applyAlignment="1">
      <alignment horizontal="center" vertical="center" wrapText="1"/>
    </xf>
    <xf numFmtId="0" fontId="12" fillId="13" borderId="2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3" fillId="0" borderId="25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6" fontId="13" fillId="0" borderId="1" xfId="0" applyNumberFormat="1" applyFont="1" applyBorder="1" applyAlignment="1">
      <alignment horizontal="center" vertical="center" wrapText="1"/>
    </xf>
    <xf numFmtId="2" fontId="13" fillId="0" borderId="1" xfId="0" applyNumberFormat="1" applyFont="1" applyBorder="1" applyAlignment="1">
      <alignment horizontal="center" vertical="center" wrapText="1"/>
    </xf>
    <xf numFmtId="2" fontId="14" fillId="0" borderId="1" xfId="0" applyNumberFormat="1" applyFont="1" applyBorder="1" applyAlignment="1">
      <alignment horizontal="center" vertical="center" wrapText="1"/>
    </xf>
    <xf numFmtId="2" fontId="14" fillId="0" borderId="26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3" fillId="14" borderId="25" xfId="0" applyFont="1" applyFill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6" fontId="13" fillId="14" borderId="1" xfId="0" applyNumberFormat="1" applyFont="1" applyFill="1" applyBorder="1" applyAlignment="1">
      <alignment horizontal="center" vertical="center" wrapText="1"/>
    </xf>
    <xf numFmtId="2" fontId="13" fillId="14" borderId="1" xfId="0" applyNumberFormat="1" applyFont="1" applyFill="1" applyBorder="1" applyAlignment="1">
      <alignment horizontal="center" vertical="center" wrapText="1"/>
    </xf>
    <xf numFmtId="2" fontId="14" fillId="14" borderId="1" xfId="0" applyNumberFormat="1" applyFont="1" applyFill="1" applyBorder="1" applyAlignment="1">
      <alignment horizontal="center" vertical="center" wrapText="1"/>
    </xf>
    <xf numFmtId="2" fontId="14" fillId="14" borderId="26" xfId="0" applyNumberFormat="1" applyFont="1" applyFill="1" applyBorder="1" applyAlignment="1">
      <alignment horizontal="center" vertical="center" wrapText="1"/>
    </xf>
    <xf numFmtId="0" fontId="0" fillId="14" borderId="0" xfId="0" applyFill="1" applyAlignment="1">
      <alignment horizontal="center" vertical="center" wrapText="1"/>
    </xf>
    <xf numFmtId="0" fontId="13" fillId="0" borderId="27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6" fontId="13" fillId="0" borderId="7" xfId="0" applyNumberFormat="1" applyFont="1" applyBorder="1" applyAlignment="1">
      <alignment horizontal="center" vertical="center" wrapText="1"/>
    </xf>
    <xf numFmtId="2" fontId="13" fillId="0" borderId="7" xfId="0" applyNumberFormat="1" applyFont="1" applyBorder="1" applyAlignment="1">
      <alignment horizontal="center" vertical="center" wrapText="1"/>
    </xf>
    <xf numFmtId="2" fontId="14" fillId="0" borderId="7" xfId="0" applyNumberFormat="1" applyFont="1" applyBorder="1" applyAlignment="1">
      <alignment horizontal="center" vertical="center" wrapText="1"/>
    </xf>
    <xf numFmtId="2" fontId="14" fillId="0" borderId="28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1" fillId="13" borderId="1" xfId="0" applyFont="1" applyFill="1" applyBorder="1" applyAlignment="1">
      <alignment horizontal="center" vertical="center" wrapText="1"/>
    </xf>
    <xf numFmtId="167" fontId="11" fillId="13" borderId="1" xfId="0" applyNumberFormat="1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0" fillId="8" borderId="9" xfId="0" applyFill="1" applyBorder="1" applyAlignment="1">
      <alignment horizontal="center"/>
    </xf>
    <xf numFmtId="0" fontId="0" fillId="8" borderId="10" xfId="0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17" fontId="3" fillId="0" borderId="1" xfId="0" applyNumberFormat="1" applyFont="1" applyBorder="1" applyAlignment="1">
      <alignment horizontal="center"/>
    </xf>
    <xf numFmtId="0" fontId="9" fillId="6" borderId="12" xfId="3" applyFont="1" applyFill="1" applyBorder="1" applyAlignment="1">
      <alignment horizontal="center" vertical="center" wrapText="1"/>
    </xf>
    <xf numFmtId="0" fontId="9" fillId="6" borderId="13" xfId="3" applyFont="1" applyFill="1" applyBorder="1" applyAlignment="1">
      <alignment horizontal="center" vertical="center" wrapText="1"/>
    </xf>
    <xf numFmtId="0" fontId="9" fillId="6" borderId="14" xfId="3" applyFont="1" applyFill="1" applyBorder="1" applyAlignment="1">
      <alignment horizontal="center" vertical="center" wrapText="1"/>
    </xf>
    <xf numFmtId="0" fontId="9" fillId="6" borderId="0" xfId="3" applyFont="1" applyFill="1" applyAlignment="1">
      <alignment horizontal="center" vertical="center" wrapText="1"/>
    </xf>
    <xf numFmtId="0" fontId="9" fillId="6" borderId="15" xfId="3" applyFont="1" applyFill="1" applyBorder="1" applyAlignment="1">
      <alignment horizontal="center" vertical="center" wrapText="1"/>
    </xf>
    <xf numFmtId="0" fontId="9" fillId="6" borderId="16" xfId="3" applyFont="1" applyFill="1" applyBorder="1" applyAlignment="1">
      <alignment horizontal="center" vertical="center" wrapText="1"/>
    </xf>
    <xf numFmtId="0" fontId="7" fillId="9" borderId="17" xfId="3" applyFont="1" applyFill="1" applyBorder="1" applyAlignment="1">
      <alignment horizontal="center" vertical="center" wrapText="1"/>
    </xf>
    <xf numFmtId="0" fontId="7" fillId="9" borderId="18" xfId="3" applyFont="1" applyFill="1" applyBorder="1" applyAlignment="1">
      <alignment horizontal="center" vertical="center" wrapText="1"/>
    </xf>
    <xf numFmtId="0" fontId="7" fillId="10" borderId="12" xfId="3" applyFont="1" applyFill="1" applyBorder="1" applyAlignment="1">
      <alignment horizontal="center" vertical="center" wrapText="1"/>
    </xf>
    <xf numFmtId="0" fontId="7" fillId="10" borderId="13" xfId="3" applyFont="1" applyFill="1" applyBorder="1" applyAlignment="1">
      <alignment horizontal="center" vertical="center" wrapText="1"/>
    </xf>
    <xf numFmtId="0" fontId="9" fillId="12" borderId="12" xfId="3" applyFont="1" applyFill="1" applyBorder="1" applyAlignment="1">
      <alignment horizontal="center" vertical="center" wrapText="1"/>
    </xf>
    <xf numFmtId="0" fontId="9" fillId="12" borderId="13" xfId="3" applyFont="1" applyFill="1" applyBorder="1" applyAlignment="1">
      <alignment horizontal="center" vertical="center" wrapText="1"/>
    </xf>
    <xf numFmtId="0" fontId="9" fillId="12" borderId="14" xfId="3" applyFont="1" applyFill="1" applyBorder="1" applyAlignment="1">
      <alignment horizontal="center" vertical="center" wrapText="1"/>
    </xf>
    <xf numFmtId="0" fontId="9" fillId="12" borderId="0" xfId="3" applyFont="1" applyFill="1" applyAlignment="1">
      <alignment horizontal="center" vertical="center" wrapText="1"/>
    </xf>
    <xf numFmtId="0" fontId="9" fillId="12" borderId="15" xfId="3" applyFont="1" applyFill="1" applyBorder="1" applyAlignment="1">
      <alignment horizontal="center" vertical="center" wrapText="1"/>
    </xf>
    <xf numFmtId="0" fontId="9" fillId="12" borderId="16" xfId="3" applyFont="1" applyFill="1" applyBorder="1" applyAlignment="1">
      <alignment horizontal="center" vertical="center" wrapText="1"/>
    </xf>
    <xf numFmtId="0" fontId="7" fillId="7" borderId="17" xfId="3" applyFont="1" applyFill="1" applyBorder="1" applyAlignment="1">
      <alignment horizontal="center" vertical="center" wrapText="1"/>
    </xf>
    <xf numFmtId="0" fontId="7" fillId="7" borderId="18" xfId="3" applyFont="1" applyFill="1" applyBorder="1" applyAlignment="1">
      <alignment horizontal="center" vertical="center" wrapText="1"/>
    </xf>
    <xf numFmtId="0" fontId="7" fillId="13" borderId="12" xfId="3" applyFont="1" applyFill="1" applyBorder="1" applyAlignment="1">
      <alignment horizontal="center" vertical="center" wrapText="1"/>
    </xf>
    <xf numFmtId="0" fontId="7" fillId="13" borderId="13" xfId="3" applyFont="1" applyFill="1" applyBorder="1" applyAlignment="1">
      <alignment horizontal="center" vertical="center" wrapText="1"/>
    </xf>
  </cellXfs>
  <cellStyles count="5">
    <cellStyle name="Moneda" xfId="1" builtinId="4"/>
    <cellStyle name="Normal" xfId="0" builtinId="0"/>
    <cellStyle name="Normal 2" xfId="3" xr:uid="{1C481A53-FC70-467A-A60F-F24565B10B6E}"/>
    <cellStyle name="Porcentaje" xfId="2" builtinId="5"/>
    <cellStyle name="Porcentaje 2" xfId="4" xr:uid="{747FCC1C-C62B-4526-9523-5C23EDAF5C9A}"/>
  </cellStyles>
  <dxfs count="71">
    <dxf>
      <font>
        <strike val="0"/>
        <outline val="0"/>
        <shadow val="0"/>
        <u val="none"/>
        <vertAlign val="baseline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0" formatCode="&quot;$&quot;#,##0_);[Red]\(&quot;$&quot;#,##0\)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0" formatCode="&quot;$&quot;#,##0_);[Red]\(&quot;$&quot;#,##0\)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vertical="center" wrapText="1"/>
    </dxf>
    <dxf>
      <numFmt numFmtId="3" formatCode="#,##0"/>
    </dxf>
    <dxf>
      <numFmt numFmtId="3" formatCode="#,##0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CURVA S USUARIOS PLANEADOS VS EJECUTADOS</a:t>
            </a:r>
          </a:p>
        </c:rich>
      </c:tx>
      <c:layout>
        <c:manualLayout>
          <c:xMode val="edge"/>
          <c:yMode val="edge"/>
          <c:x val="0.38525806562280923"/>
          <c:y val="1.81776803848515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'Curva S_GECELCA'!$B$7</c:f>
              <c:strCache>
                <c:ptCount val="1"/>
                <c:pt idx="0">
                  <c:v>Usuarios Planeados Acumulados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'Curva S_GECELCA'!$A$8:$A$27</c:f>
              <c:numCache>
                <c:formatCode>dd/mm/yyyy</c:formatCode>
                <c:ptCount val="20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</c:numCache>
            </c:numRef>
          </c:cat>
          <c:val>
            <c:numRef>
              <c:f>'Curva S_GECELCA'!$B$8:$B$27</c:f>
              <c:numCache>
                <c:formatCode>0</c:formatCode>
                <c:ptCount val="20"/>
                <c:pt idx="0">
                  <c:v>0</c:v>
                </c:pt>
                <c:pt idx="1">
                  <c:v>62</c:v>
                </c:pt>
                <c:pt idx="2">
                  <c:v>84</c:v>
                </c:pt>
                <c:pt idx="3">
                  <c:v>108</c:v>
                </c:pt>
                <c:pt idx="4">
                  <c:v>134</c:v>
                </c:pt>
                <c:pt idx="5">
                  <c:v>162</c:v>
                </c:pt>
                <c:pt idx="6">
                  <c:v>192</c:v>
                </c:pt>
                <c:pt idx="7">
                  <c:v>222</c:v>
                </c:pt>
                <c:pt idx="8">
                  <c:v>252</c:v>
                </c:pt>
                <c:pt idx="9">
                  <c:v>284</c:v>
                </c:pt>
                <c:pt idx="10">
                  <c:v>316</c:v>
                </c:pt>
                <c:pt idx="11">
                  <c:v>348</c:v>
                </c:pt>
                <c:pt idx="12">
                  <c:v>380</c:v>
                </c:pt>
                <c:pt idx="13">
                  <c:v>412</c:v>
                </c:pt>
                <c:pt idx="14">
                  <c:v>442</c:v>
                </c:pt>
                <c:pt idx="15">
                  <c:v>458</c:v>
                </c:pt>
                <c:pt idx="16">
                  <c:v>474</c:v>
                </c:pt>
                <c:pt idx="17">
                  <c:v>490</c:v>
                </c:pt>
                <c:pt idx="18">
                  <c:v>506</c:v>
                </c:pt>
                <c:pt idx="19">
                  <c:v>512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C1-45E2-ACDD-EA9B3C6F9390}"/>
            </c:ext>
          </c:extLst>
        </c:ser>
        <c:ser>
          <c:idx val="2"/>
          <c:order val="2"/>
          <c:tx>
            <c:strRef>
              <c:f>'Curva S_GECELCA'!$D$7</c:f>
              <c:strCache>
                <c:ptCount val="1"/>
                <c:pt idx="0">
                  <c:v>Usuarios Ejecutados Acumulados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'Curva S_GECELCA'!$A$8:$A$27</c:f>
              <c:numCache>
                <c:formatCode>dd/mm/yyyy</c:formatCode>
                <c:ptCount val="20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</c:numCache>
            </c:numRef>
          </c:cat>
          <c:val>
            <c:numRef>
              <c:f>'Curva S_GECELCA'!$D$8:$D$27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3</c:v>
                </c:pt>
                <c:pt idx="3">
                  <c:v>6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C1-45E2-ACDD-EA9B3C6F93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8042800"/>
        <c:axId val="37804088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'Curva S_GECELCA'!$C$7</c15:sqref>
                        </c15:formulaRef>
                      </c:ext>
                    </c:extLst>
                    <c:strCache>
                      <c:ptCount val="1"/>
                      <c:pt idx="0">
                        <c:v>Usuarios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'Curva S_GECELCA'!$A$8:$A$27</c15:sqref>
                        </c15:formulaRef>
                      </c:ext>
                    </c:extLst>
                    <c:numCache>
                      <c:formatCode>dd/mm/yyyy</c:formatCode>
                      <c:ptCount val="20"/>
                      <c:pt idx="0">
                        <c:v>46143</c:v>
                      </c:pt>
                      <c:pt idx="1">
                        <c:v>46144</c:v>
                      </c:pt>
                      <c:pt idx="2">
                        <c:v>46145</c:v>
                      </c:pt>
                      <c:pt idx="3">
                        <c:v>46146</c:v>
                      </c:pt>
                      <c:pt idx="4">
                        <c:v>46147</c:v>
                      </c:pt>
                      <c:pt idx="5">
                        <c:v>46148</c:v>
                      </c:pt>
                      <c:pt idx="6">
                        <c:v>46149</c:v>
                      </c:pt>
                      <c:pt idx="7">
                        <c:v>46150</c:v>
                      </c:pt>
                      <c:pt idx="8">
                        <c:v>46151</c:v>
                      </c:pt>
                      <c:pt idx="9">
                        <c:v>46152</c:v>
                      </c:pt>
                      <c:pt idx="10">
                        <c:v>46153</c:v>
                      </c:pt>
                      <c:pt idx="11">
                        <c:v>46154</c:v>
                      </c:pt>
                      <c:pt idx="12">
                        <c:v>46155</c:v>
                      </c:pt>
                      <c:pt idx="13">
                        <c:v>46156</c:v>
                      </c:pt>
                      <c:pt idx="14">
                        <c:v>46157</c:v>
                      </c:pt>
                      <c:pt idx="15">
                        <c:v>46158</c:v>
                      </c:pt>
                      <c:pt idx="16">
                        <c:v>46159</c:v>
                      </c:pt>
                      <c:pt idx="17">
                        <c:v>46160</c:v>
                      </c:pt>
                      <c:pt idx="18">
                        <c:v>46161</c:v>
                      </c:pt>
                      <c:pt idx="19">
                        <c:v>46162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'Curva S_GECELCA'!$C$8:$C$27</c15:sqref>
                        </c15:formulaRef>
                      </c:ext>
                    </c:extLst>
                    <c:numCache>
                      <c:formatCode>0</c:formatCode>
                      <c:ptCount val="20"/>
                      <c:pt idx="0">
                        <c:v>0</c:v>
                      </c:pt>
                      <c:pt idx="1">
                        <c:v>62</c:v>
                      </c:pt>
                      <c:pt idx="2">
                        <c:v>22</c:v>
                      </c:pt>
                      <c:pt idx="3">
                        <c:v>24</c:v>
                      </c:pt>
                      <c:pt idx="4">
                        <c:v>26</c:v>
                      </c:pt>
                      <c:pt idx="5">
                        <c:v>28</c:v>
                      </c:pt>
                      <c:pt idx="6">
                        <c:v>30</c:v>
                      </c:pt>
                      <c:pt idx="7">
                        <c:v>30</c:v>
                      </c:pt>
                      <c:pt idx="8">
                        <c:v>30</c:v>
                      </c:pt>
                      <c:pt idx="9">
                        <c:v>32</c:v>
                      </c:pt>
                      <c:pt idx="10">
                        <c:v>32</c:v>
                      </c:pt>
                      <c:pt idx="11">
                        <c:v>32</c:v>
                      </c:pt>
                      <c:pt idx="12">
                        <c:v>32</c:v>
                      </c:pt>
                      <c:pt idx="13">
                        <c:v>32</c:v>
                      </c:pt>
                      <c:pt idx="14">
                        <c:v>30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1EC1-45E2-ACDD-EA9B3C6F9390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'Curva S_GECELCA'!$E$7</c15:sqref>
                        </c15:formulaRef>
                      </c:ext>
                    </c:extLst>
                    <c:strCache>
                      <c:ptCount val="1"/>
                      <c:pt idx="0">
                        <c:v>Usuarios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'Curva S_GECELCA'!$A$8:$A$27</c15:sqref>
                        </c15:formulaRef>
                      </c:ext>
                    </c:extLst>
                    <c:numCache>
                      <c:formatCode>dd/mm/yyyy</c:formatCode>
                      <c:ptCount val="20"/>
                      <c:pt idx="0">
                        <c:v>46143</c:v>
                      </c:pt>
                      <c:pt idx="1">
                        <c:v>46144</c:v>
                      </c:pt>
                      <c:pt idx="2">
                        <c:v>46145</c:v>
                      </c:pt>
                      <c:pt idx="3">
                        <c:v>46146</c:v>
                      </c:pt>
                      <c:pt idx="4">
                        <c:v>46147</c:v>
                      </c:pt>
                      <c:pt idx="5">
                        <c:v>46148</c:v>
                      </c:pt>
                      <c:pt idx="6">
                        <c:v>46149</c:v>
                      </c:pt>
                      <c:pt idx="7">
                        <c:v>46150</c:v>
                      </c:pt>
                      <c:pt idx="8">
                        <c:v>46151</c:v>
                      </c:pt>
                      <c:pt idx="9">
                        <c:v>46152</c:v>
                      </c:pt>
                      <c:pt idx="10">
                        <c:v>46153</c:v>
                      </c:pt>
                      <c:pt idx="11">
                        <c:v>46154</c:v>
                      </c:pt>
                      <c:pt idx="12">
                        <c:v>46155</c:v>
                      </c:pt>
                      <c:pt idx="13">
                        <c:v>46156</c:v>
                      </c:pt>
                      <c:pt idx="14">
                        <c:v>46157</c:v>
                      </c:pt>
                      <c:pt idx="15">
                        <c:v>46158</c:v>
                      </c:pt>
                      <c:pt idx="16">
                        <c:v>46159</c:v>
                      </c:pt>
                      <c:pt idx="17">
                        <c:v>46160</c:v>
                      </c:pt>
                      <c:pt idx="18">
                        <c:v>46161</c:v>
                      </c:pt>
                      <c:pt idx="19">
                        <c:v>46162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'Curva S_GECELCA'!$E$8:$E$27</c15:sqref>
                        </c15:formulaRef>
                      </c:ext>
                    </c:extLst>
                    <c:numCache>
                      <c:formatCode>0</c:formatCode>
                      <c:ptCount val="20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EC1-45E2-ACDD-EA9B3C6F9390}"/>
                  </c:ext>
                </c:extLst>
              </c15:ser>
            </c15:filteredLineSeries>
          </c:ext>
        </c:extLst>
      </c:lineChart>
      <c:dateAx>
        <c:axId val="378042800"/>
        <c:scaling>
          <c:orientation val="minMax"/>
        </c:scaling>
        <c:delete val="0"/>
        <c:axPos val="b"/>
        <c:numFmt formatCode="dd/mm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78040880"/>
        <c:crosses val="autoZero"/>
        <c:auto val="1"/>
        <c:lblOffset val="100"/>
        <c:baseTimeUnit val="days"/>
      </c:dateAx>
      <c:valAx>
        <c:axId val="37804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USUARIOS</a:t>
                </a:r>
              </a:p>
            </c:rich>
          </c:tx>
          <c:layout>
            <c:manualLayout>
              <c:xMode val="edge"/>
              <c:yMode val="edge"/>
              <c:x val="0.10361108122463004"/>
              <c:y val="0.3576962438042020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7804280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b="1"/>
              <a:t>PROYECTO BECERRIL</a:t>
            </a:r>
          </a:p>
          <a:p>
            <a:pPr>
              <a:defRPr b="1"/>
            </a:pPr>
            <a:r>
              <a:rPr lang="es-CO" b="1"/>
              <a:t>CURVA S USUARIOS PLANEADOS VS EJECUTADOS</a:t>
            </a:r>
          </a:p>
        </c:rich>
      </c:tx>
      <c:layout>
        <c:manualLayout>
          <c:xMode val="edge"/>
          <c:yMode val="edge"/>
          <c:x val="0.29561432062392951"/>
          <c:y val="1.02214695235340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'Curva S_Becerril'!$B$7</c:f>
              <c:strCache>
                <c:ptCount val="1"/>
                <c:pt idx="0">
                  <c:v>Usuarios Planeados Acumulados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'Curva S_Becerril'!$A$8:$A$27</c:f>
              <c:numCache>
                <c:formatCode>d\-mmm</c:formatCode>
                <c:ptCount val="20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</c:numCache>
            </c:numRef>
          </c:cat>
          <c:val>
            <c:numRef>
              <c:f>'Curva S_Becerril'!$B$8:$B$27</c:f>
              <c:numCache>
                <c:formatCode>0</c:formatCode>
                <c:ptCount val="20"/>
                <c:pt idx="0">
                  <c:v>0</c:v>
                </c:pt>
                <c:pt idx="1">
                  <c:v>8</c:v>
                </c:pt>
                <c:pt idx="2">
                  <c:v>20</c:v>
                </c:pt>
                <c:pt idx="3">
                  <c:v>33</c:v>
                </c:pt>
                <c:pt idx="4">
                  <c:v>45</c:v>
                </c:pt>
                <c:pt idx="5">
                  <c:v>59</c:v>
                </c:pt>
                <c:pt idx="6">
                  <c:v>74</c:v>
                </c:pt>
                <c:pt idx="7">
                  <c:v>86</c:v>
                </c:pt>
                <c:pt idx="8">
                  <c:v>98</c:v>
                </c:pt>
                <c:pt idx="9">
                  <c:v>110</c:v>
                </c:pt>
                <c:pt idx="10">
                  <c:v>118</c:v>
                </c:pt>
                <c:pt idx="11">
                  <c:v>127</c:v>
                </c:pt>
                <c:pt idx="12">
                  <c:v>139</c:v>
                </c:pt>
                <c:pt idx="13">
                  <c:v>145</c:v>
                </c:pt>
                <c:pt idx="14">
                  <c:v>151</c:v>
                </c:pt>
                <c:pt idx="15">
                  <c:v>161</c:v>
                </c:pt>
                <c:pt idx="16">
                  <c:v>173</c:v>
                </c:pt>
                <c:pt idx="17">
                  <c:v>181</c:v>
                </c:pt>
                <c:pt idx="18">
                  <c:v>190</c:v>
                </c:pt>
                <c:pt idx="19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F7-459B-A65D-4A447BD6F4C3}"/>
            </c:ext>
          </c:extLst>
        </c:ser>
        <c:ser>
          <c:idx val="2"/>
          <c:order val="2"/>
          <c:tx>
            <c:strRef>
              <c:f>'Curva S_Becerril'!$D$7</c:f>
              <c:strCache>
                <c:ptCount val="1"/>
                <c:pt idx="0">
                  <c:v>Usuarios Ejecutados Acumulados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'Curva S_Becerril'!$A$8:$A$27</c:f>
              <c:numCache>
                <c:formatCode>d\-mmm</c:formatCode>
                <c:ptCount val="20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</c:numCache>
            </c:numRef>
          </c:cat>
          <c:val>
            <c:numRef>
              <c:f>'Curva S_Becerril'!$D$8:$D$27</c:f>
              <c:numCache>
                <c:formatCode>0</c:formatCode>
                <c:ptCount val="20"/>
                <c:pt idx="0">
                  <c:v>0</c:v>
                </c:pt>
                <c:pt idx="1">
                  <c:v>4</c:v>
                </c:pt>
                <c:pt idx="2">
                  <c:v>12</c:v>
                </c:pt>
                <c:pt idx="3">
                  <c:v>23</c:v>
                </c:pt>
                <c:pt idx="4">
                  <c:v>46</c:v>
                </c:pt>
                <c:pt idx="5">
                  <c:v>68</c:v>
                </c:pt>
                <c:pt idx="6">
                  <c:v>103</c:v>
                </c:pt>
                <c:pt idx="7">
                  <c:v>137</c:v>
                </c:pt>
                <c:pt idx="8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F7-459B-A65D-4A447BD6F4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8042800"/>
        <c:axId val="37804088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'Curva S_Becerril'!$C$7</c15:sqref>
                        </c15:formulaRef>
                      </c:ext>
                    </c:extLst>
                    <c:strCache>
                      <c:ptCount val="1"/>
                      <c:pt idx="0">
                        <c:v>Usuarios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'Curva S_Becerril'!$A$8:$A$27</c15:sqref>
                        </c15:formulaRef>
                      </c:ext>
                    </c:extLst>
                    <c:numCache>
                      <c:formatCode>d\-mmm</c:formatCode>
                      <c:ptCount val="20"/>
                      <c:pt idx="0">
                        <c:v>46143</c:v>
                      </c:pt>
                      <c:pt idx="1">
                        <c:v>46144</c:v>
                      </c:pt>
                      <c:pt idx="2">
                        <c:v>46145</c:v>
                      </c:pt>
                      <c:pt idx="3">
                        <c:v>46146</c:v>
                      </c:pt>
                      <c:pt idx="4">
                        <c:v>46147</c:v>
                      </c:pt>
                      <c:pt idx="5">
                        <c:v>46148</c:v>
                      </c:pt>
                      <c:pt idx="6">
                        <c:v>46149</c:v>
                      </c:pt>
                      <c:pt idx="7">
                        <c:v>46150</c:v>
                      </c:pt>
                      <c:pt idx="8">
                        <c:v>46151</c:v>
                      </c:pt>
                      <c:pt idx="9">
                        <c:v>46152</c:v>
                      </c:pt>
                      <c:pt idx="10">
                        <c:v>46153</c:v>
                      </c:pt>
                      <c:pt idx="11">
                        <c:v>46154</c:v>
                      </c:pt>
                      <c:pt idx="12">
                        <c:v>46155</c:v>
                      </c:pt>
                      <c:pt idx="13">
                        <c:v>46156</c:v>
                      </c:pt>
                      <c:pt idx="14">
                        <c:v>46157</c:v>
                      </c:pt>
                      <c:pt idx="15">
                        <c:v>46158</c:v>
                      </c:pt>
                      <c:pt idx="16">
                        <c:v>46159</c:v>
                      </c:pt>
                      <c:pt idx="17">
                        <c:v>46160</c:v>
                      </c:pt>
                      <c:pt idx="18">
                        <c:v>46161</c:v>
                      </c:pt>
                      <c:pt idx="19">
                        <c:v>46162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'Curva S_Becerril'!$C$8:$C$27</c15:sqref>
                        </c15:formulaRef>
                      </c:ext>
                    </c:extLst>
                    <c:numCache>
                      <c:formatCode>0</c:formatCode>
                      <c:ptCount val="20"/>
                      <c:pt idx="0">
                        <c:v>0</c:v>
                      </c:pt>
                      <c:pt idx="1">
                        <c:v>8</c:v>
                      </c:pt>
                      <c:pt idx="2">
                        <c:v>12</c:v>
                      </c:pt>
                      <c:pt idx="3">
                        <c:v>13</c:v>
                      </c:pt>
                      <c:pt idx="4">
                        <c:v>12</c:v>
                      </c:pt>
                      <c:pt idx="5">
                        <c:v>14</c:v>
                      </c:pt>
                      <c:pt idx="6">
                        <c:v>15</c:v>
                      </c:pt>
                      <c:pt idx="7">
                        <c:v>12</c:v>
                      </c:pt>
                      <c:pt idx="8">
                        <c:v>12</c:v>
                      </c:pt>
                      <c:pt idx="9">
                        <c:v>12</c:v>
                      </c:pt>
                      <c:pt idx="10">
                        <c:v>8</c:v>
                      </c:pt>
                      <c:pt idx="11">
                        <c:v>9</c:v>
                      </c:pt>
                      <c:pt idx="12">
                        <c:v>12</c:v>
                      </c:pt>
                      <c:pt idx="13">
                        <c:v>6</c:v>
                      </c:pt>
                      <c:pt idx="14">
                        <c:v>6</c:v>
                      </c:pt>
                      <c:pt idx="15">
                        <c:v>10</c:v>
                      </c:pt>
                      <c:pt idx="16">
                        <c:v>12</c:v>
                      </c:pt>
                      <c:pt idx="17">
                        <c:v>8</c:v>
                      </c:pt>
                      <c:pt idx="18">
                        <c:v>9</c:v>
                      </c:pt>
                      <c:pt idx="19">
                        <c:v>10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8F7-459B-A65D-4A447BD6F4C3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'Curva S_Becerril'!$E$7</c15:sqref>
                        </c15:formulaRef>
                      </c:ext>
                    </c:extLst>
                    <c:strCache>
                      <c:ptCount val="1"/>
                      <c:pt idx="0">
                        <c:v>Usuarios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'Curva S_Becerril'!$A$8:$A$27</c15:sqref>
                        </c15:formulaRef>
                      </c:ext>
                    </c:extLst>
                    <c:numCache>
                      <c:formatCode>d\-mmm</c:formatCode>
                      <c:ptCount val="20"/>
                      <c:pt idx="0">
                        <c:v>46143</c:v>
                      </c:pt>
                      <c:pt idx="1">
                        <c:v>46144</c:v>
                      </c:pt>
                      <c:pt idx="2">
                        <c:v>46145</c:v>
                      </c:pt>
                      <c:pt idx="3">
                        <c:v>46146</c:v>
                      </c:pt>
                      <c:pt idx="4">
                        <c:v>46147</c:v>
                      </c:pt>
                      <c:pt idx="5">
                        <c:v>46148</c:v>
                      </c:pt>
                      <c:pt idx="6">
                        <c:v>46149</c:v>
                      </c:pt>
                      <c:pt idx="7">
                        <c:v>46150</c:v>
                      </c:pt>
                      <c:pt idx="8">
                        <c:v>46151</c:v>
                      </c:pt>
                      <c:pt idx="9">
                        <c:v>46152</c:v>
                      </c:pt>
                      <c:pt idx="10">
                        <c:v>46153</c:v>
                      </c:pt>
                      <c:pt idx="11">
                        <c:v>46154</c:v>
                      </c:pt>
                      <c:pt idx="12">
                        <c:v>46155</c:v>
                      </c:pt>
                      <c:pt idx="13">
                        <c:v>46156</c:v>
                      </c:pt>
                      <c:pt idx="14">
                        <c:v>46157</c:v>
                      </c:pt>
                      <c:pt idx="15">
                        <c:v>46158</c:v>
                      </c:pt>
                      <c:pt idx="16">
                        <c:v>46159</c:v>
                      </c:pt>
                      <c:pt idx="17">
                        <c:v>46160</c:v>
                      </c:pt>
                      <c:pt idx="18">
                        <c:v>46161</c:v>
                      </c:pt>
                      <c:pt idx="19">
                        <c:v>46162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'Curva S_Becerril'!$E$8:$E$27</c15:sqref>
                        </c15:formulaRef>
                      </c:ext>
                    </c:extLst>
                    <c:numCache>
                      <c:formatCode>0</c:formatCode>
                      <c:ptCount val="20"/>
                      <c:pt idx="0">
                        <c:v>0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11</c:v>
                      </c:pt>
                      <c:pt idx="4">
                        <c:v>23</c:v>
                      </c:pt>
                      <c:pt idx="5">
                        <c:v>22</c:v>
                      </c:pt>
                      <c:pt idx="6">
                        <c:v>35</c:v>
                      </c:pt>
                      <c:pt idx="7">
                        <c:v>34</c:v>
                      </c:pt>
                      <c:pt idx="8">
                        <c:v>43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8F7-459B-A65D-4A447BD6F4C3}"/>
                  </c:ext>
                </c:extLst>
              </c15:ser>
            </c15:filteredLineSeries>
          </c:ext>
        </c:extLst>
      </c:lineChart>
      <c:dateAx>
        <c:axId val="378042800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78040880"/>
        <c:crosses val="autoZero"/>
        <c:auto val="1"/>
        <c:lblOffset val="100"/>
        <c:baseTimeUnit val="days"/>
      </c:dateAx>
      <c:valAx>
        <c:axId val="37804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 sz="2400" b="1"/>
                  <a:t>USUARIOS</a:t>
                </a:r>
              </a:p>
            </c:rich>
          </c:tx>
          <c:layout>
            <c:manualLayout>
              <c:xMode val="edge"/>
              <c:yMode val="edge"/>
              <c:x val="0.10835030847601676"/>
              <c:y val="0.3422169121967534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7804280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457197</xdr:colOff>
      <xdr:row>3</xdr:row>
      <xdr:rowOff>214309</xdr:rowOff>
    </xdr:from>
    <xdr:to>
      <xdr:col>25</xdr:col>
      <xdr:colOff>85724</xdr:colOff>
      <xdr:row>41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A699A2E-934A-46BE-85C7-C73A21A4F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523871</xdr:colOff>
      <xdr:row>6</xdr:row>
      <xdr:rowOff>14284</xdr:rowOff>
    </xdr:from>
    <xdr:to>
      <xdr:col>26</xdr:col>
      <xdr:colOff>180976</xdr:colOff>
      <xdr:row>53</xdr:row>
      <xdr:rowOff>123824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BE33319-5EB9-4097-BCB8-40EBA315BB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inenergiacol.sharepoint.com/sites/msteams_c07b9d_609752/Shared%20Documents/General/19.%20PMO/1.%20Contratos%20OR/Consolidado%20Inaguraciones_CE_21.04.2026.xlsx" TargetMode="External"/><Relationship Id="rId1" Type="http://schemas.openxmlformats.org/officeDocument/2006/relationships/externalLinkPath" Target="Consolidado%20Inaguraciones_CE_21.04.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 Inicial"/>
      <sheetName val="TD_Inicial"/>
      <sheetName val="TD Base Actualizada"/>
      <sheetName val="Base Actualizada"/>
      <sheetName val="Gráfica Inaguraciones"/>
      <sheetName val="Hoja3"/>
      <sheetName val="Sheet1"/>
      <sheetName val="Base_Actualizado_21.04.26"/>
    </sheetNames>
    <sheetDataSet>
      <sheetData sheetId="0"/>
      <sheetData sheetId="1"/>
      <sheetData sheetId="2"/>
      <sheetData sheetId="3">
        <row r="23">
          <cell r="E23">
            <v>6880380834</v>
          </cell>
        </row>
        <row r="24">
          <cell r="E24">
            <v>22802905997</v>
          </cell>
        </row>
        <row r="25">
          <cell r="E25">
            <v>9349545113</v>
          </cell>
        </row>
        <row r="26">
          <cell r="E26">
            <v>24764667070</v>
          </cell>
        </row>
      </sheetData>
      <sheetData sheetId="4"/>
      <sheetData sheetId="5"/>
      <sheetData sheetId="6"/>
      <sheetData sheetId="7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erto Falquez" refreshedDate="46150.123720601849" createdVersion="8" refreshedVersion="8" minRefreshableVersion="3" recordCount="51" xr:uid="{BBEC5268-F8A1-4E7C-A5CA-C3F0A71C3BF9}">
  <cacheSource type="worksheet">
    <worksheetSource ref="C2:P53" sheet="Base"/>
  </cacheSource>
  <cacheFields count="14">
    <cacheField name="CONTRATISTA" numFmtId="0">
      <sharedItems count="6">
        <s v="Electrocaqueta"/>
        <s v="Dispac"/>
        <s v="Gensa"/>
        <s v="Gecelca"/>
        <s v="IPSE"/>
        <s v="FENOGE"/>
      </sharedItems>
    </cacheField>
    <cacheField name="DEPARTAMENTO" numFmtId="0">
      <sharedItems/>
    </cacheField>
    <cacheField name="PROYECTO" numFmtId="0">
      <sharedItems count="32">
        <s v="Becerril"/>
        <s v="Curumaní"/>
        <s v="Santa Marta"/>
        <s v="Santander"/>
        <s v="Guaca"/>
        <s v="Ricaurte"/>
        <s v="Norte de Santander"/>
        <s v="Maicao y Albania"/>
        <s v="Cartagena del Chaiira"/>
        <s v="La Uribe  "/>
        <s v="Uribia"/>
        <s v="San Miguel, Valle del Guamuez,Villa Garzon,Puerto Guzman"/>
        <s v="Villas de San Pablo"/>
        <s v="MANAURE"/>
        <s v="ARGELIA, PATÍA, PIENDAMÓ, TUNÍA, SOTARÁ"/>
        <s v="GUAPI"/>
        <s v="LOPEZ DE MICAY"/>
        <s v="ALBANIA"/>
        <s v="LA PRIMAVERA"/>
        <s v="Florencia"/>
        <s v="Vista Hermosa (235 kWp)"/>
        <s v="La Uribe (30 kWp)"/>
        <s v="Vista Hermosa (1.000 kWp)"/>
        <s v="Arauquita (1.000 kWp)"/>
        <s v="Agrado"/>
        <s v="Chaparral"/>
        <s v="Beltrán"/>
        <s v="Barrancabermeja"/>
        <s v="Villa de Leyva"/>
        <s v="Tibú"/>
        <s v="Jagua de Ibirico (2)"/>
        <s v="Riohacha"/>
      </sharedItems>
    </cacheField>
    <cacheField name="MUNICIPIO" numFmtId="0">
      <sharedItems/>
    </cacheField>
    <cacheField name="PROGRAMA" numFmtId="0">
      <sharedItems count="4">
        <s v="Comunidades Energéticas OR"/>
        <s v="Colombia Solar"/>
        <s v="IPSE"/>
        <s v="Fenoge 1.0 y 1.1"/>
      </sharedItems>
    </cacheField>
    <cacheField name="TIPO DE SOLUCIÓN" numFmtId="0">
      <sharedItems/>
    </cacheField>
    <cacheField name="INVERSIÓN" numFmtId="166">
      <sharedItems containsSemiMixedTypes="0" containsString="0" containsNumber="1" minValue="283500000" maxValue="298500463552.41559"/>
    </cacheField>
    <cacheField name="FECHA" numFmtId="16">
      <sharedItems containsSemiMixedTypes="0" containsNonDate="0" containsDate="1" containsString="0" minDate="2026-05-07T00:00:00" maxDate="2026-08-16T00:00:00" count="17">
        <d v="2026-05-20T00:00:00"/>
        <d v="2026-06-11T00:00:00"/>
        <d v="2026-07-25T00:00:00"/>
        <d v="2026-05-25T00:00:00"/>
        <d v="2026-06-15T00:00:00"/>
        <d v="2026-06-20T00:00:00"/>
        <d v="2026-05-30T00:00:00"/>
        <d v="2026-06-30T00:00:00"/>
        <d v="2026-07-30T00:00:00"/>
        <d v="2026-05-07T00:00:00"/>
        <d v="2026-05-21T00:00:00"/>
        <d v="2026-05-22T00:00:00"/>
        <d v="2026-05-27T00:00:00"/>
        <d v="2026-06-17T00:00:00"/>
        <d v="2026-05-15T00:00:00"/>
        <d v="2026-08-15T00:00:00"/>
        <d v="2026-07-15T00:00:00"/>
      </sharedItems>
    </cacheField>
    <cacheField name="MES" numFmtId="16">
      <sharedItems count="4">
        <s v="Mayo"/>
        <s v="Junio"/>
        <s v="Julio"/>
        <s v="Agosto"/>
      </sharedItems>
    </cacheField>
    <cacheField name="PLANEADO (USUARIOS)" numFmtId="0">
      <sharedItems containsSemiMixedTypes="0" containsString="0" containsNumber="1" containsInteger="1" minValue="10" maxValue="9864"/>
    </cacheField>
    <cacheField name="EJECUTADO (USUARIOS)" numFmtId="0">
      <sharedItems containsSemiMixedTypes="0" containsString="0" containsNumber="1" containsInteger="1" minValue="0" maxValue="180"/>
    </cacheField>
    <cacheField name="CAPACIDAD (kWp) (PLANEADA)" numFmtId="0">
      <sharedItems containsSemiMixedTypes="0" containsString="0" containsNumber="1" minValue="11.020881670533642" maxValue="10850.030007501877"/>
    </cacheField>
    <cacheField name="CAPACIDAD (kWp) (EJECUTADA)" numFmtId="2">
      <sharedItems containsSemiMixedTypes="0" containsString="0" containsNumber="1" minValue="0" maxValue="219.58266452648476"/>
    </cacheField>
    <cacheField name="EFICIENCIA" numFmtId="9">
      <sharedItems containsSemiMixedTypes="0" containsString="0" containsNumber="1" minValue="0" maxValue="0.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">
  <r>
    <x v="0"/>
    <s v="Cesar"/>
    <x v="0"/>
    <s v="Becerril"/>
    <x v="0"/>
    <s v="Individual"/>
    <n v="5922249995.8266449"/>
    <x v="0"/>
    <x v="0"/>
    <n v="200"/>
    <n v="180"/>
    <n v="243.98073836276083"/>
    <n v="219.58266452648476"/>
    <n v="0.9"/>
  </r>
  <r>
    <x v="0"/>
    <s v="Cesar"/>
    <x v="0"/>
    <s v="Becerril"/>
    <x v="0"/>
    <s v="Individual"/>
    <n v="5922249995.8266449"/>
    <x v="1"/>
    <x v="1"/>
    <n v="200"/>
    <n v="0"/>
    <n v="243.98073836276083"/>
    <n v="0"/>
    <n v="0"/>
  </r>
  <r>
    <x v="0"/>
    <s v="Cesar"/>
    <x v="0"/>
    <s v="Becerril"/>
    <x v="0"/>
    <s v="Individual"/>
    <n v="6603308745.3467093"/>
    <x v="2"/>
    <x v="2"/>
    <n v="223"/>
    <n v="0"/>
    <n v="272.03852327447834"/>
    <n v="0"/>
    <n v="0"/>
  </r>
  <r>
    <x v="0"/>
    <s v="Cesar"/>
    <x v="1"/>
    <s v="Curumaní"/>
    <x v="0"/>
    <s v="Individual"/>
    <n v="2902990545.6730766"/>
    <x v="0"/>
    <x v="0"/>
    <n v="100"/>
    <n v="0"/>
    <n v="121.79487179487178"/>
    <n v="0"/>
    <n v="0"/>
  </r>
  <r>
    <x v="0"/>
    <s v="Cesar"/>
    <x v="1"/>
    <s v="Curumaní"/>
    <x v="0"/>
    <s v="Individual"/>
    <n v="4354485818.5096149"/>
    <x v="1"/>
    <x v="1"/>
    <n v="150"/>
    <n v="0"/>
    <n v="182.69230769230768"/>
    <n v="0"/>
    <n v="0"/>
  </r>
  <r>
    <x v="0"/>
    <s v="Cesar"/>
    <x v="1"/>
    <s v="Curumaní"/>
    <x v="0"/>
    <s v="Individual"/>
    <n v="10857184640.817307"/>
    <x v="2"/>
    <x v="2"/>
    <n v="374"/>
    <n v="0"/>
    <n v="455.5128205128205"/>
    <n v="0"/>
    <n v="0"/>
  </r>
  <r>
    <x v="0"/>
    <s v="Magdalena"/>
    <x v="2"/>
    <s v="Santa Marta"/>
    <x v="0"/>
    <s v="Individual"/>
    <n v="16156623820.999367"/>
    <x v="1"/>
    <x v="1"/>
    <n v="500"/>
    <n v="0"/>
    <n v="550.28462998102464"/>
    <n v="0"/>
    <n v="0"/>
  </r>
  <r>
    <x v="0"/>
    <s v="Magdalena"/>
    <x v="2"/>
    <s v="Santa Marta"/>
    <x v="0"/>
    <s v="Individual"/>
    <n v="34930620701.000633"/>
    <x v="2"/>
    <x v="2"/>
    <n v="1081"/>
    <n v="0"/>
    <n v="1189.7153700189754"/>
    <n v="0"/>
    <n v="0"/>
  </r>
  <r>
    <x v="0"/>
    <s v="Santander"/>
    <x v="3"/>
    <s v="Bolivar, Charalá, El Peñón, Florian, La Belleza, Landazuri, Ocamonte, Simac ota, Sucre, zapatoca"/>
    <x v="0"/>
    <s v="Individual"/>
    <n v="22713076563.816925"/>
    <x v="1"/>
    <x v="1"/>
    <n v="700"/>
    <n v="0"/>
    <n v="767.70293609671853"/>
    <n v="0"/>
    <n v="0"/>
  </r>
  <r>
    <x v="0"/>
    <s v="Santander"/>
    <x v="3"/>
    <s v="Bolivar, Charalá, El Peñón, Florian, La Belleza, Landazuri, Ocamonte, Simac ota, Sucre, zapatoca"/>
    <x v="0"/>
    <s v="Individual"/>
    <n v="14860841523.183073"/>
    <x v="2"/>
    <x v="2"/>
    <n v="458"/>
    <n v="0"/>
    <n v="502.29706390328153"/>
    <n v="0"/>
    <n v="0"/>
  </r>
  <r>
    <x v="0"/>
    <s v="Santander"/>
    <x v="4"/>
    <s v="Guaca"/>
    <x v="0"/>
    <s v="Individual"/>
    <n v="2372783820.2207789"/>
    <x v="1"/>
    <x v="1"/>
    <n v="83"/>
    <n v="0"/>
    <n v="102.40259740259741"/>
    <n v="0"/>
    <n v="0"/>
  </r>
  <r>
    <x v="0"/>
    <s v="Santander"/>
    <x v="4"/>
    <s v="Guaca"/>
    <x v="0"/>
    <s v="Individual"/>
    <n v="2029730737.7792206"/>
    <x v="2"/>
    <x v="2"/>
    <n v="71"/>
    <n v="0"/>
    <n v="87.597402597402606"/>
    <n v="0"/>
    <n v="0"/>
  </r>
  <r>
    <x v="0"/>
    <s v="Nariño"/>
    <x v="5"/>
    <s v="Ricaurte"/>
    <x v="0"/>
    <s v="Individual"/>
    <n v="321833278.88631094"/>
    <x v="1"/>
    <x v="1"/>
    <n v="10"/>
    <n v="0"/>
    <n v="11.020881670533642"/>
    <n v="0"/>
    <n v="0"/>
  </r>
  <r>
    <x v="0"/>
    <s v="Nariño"/>
    <x v="5"/>
    <s v="Ricaurte"/>
    <x v="0"/>
    <s v="Individual"/>
    <n v="27420195361.113689"/>
    <x v="2"/>
    <x v="2"/>
    <n v="852"/>
    <n v="0"/>
    <n v="938.97911832946636"/>
    <n v="0"/>
    <n v="0"/>
  </r>
  <r>
    <x v="0"/>
    <s v="Norte de Santander"/>
    <x v="6"/>
    <s v="TEORAMA_x000a_EL CARMEN_x000a_CONVENCIÓN_x000a_HACARI_x000a_SAN CALIXTO_x000a_TIBU"/>
    <x v="0"/>
    <s v="Individual"/>
    <n v="121589085878"/>
    <x v="2"/>
    <x v="2"/>
    <n v="3783"/>
    <n v="0"/>
    <n v="4160"/>
    <n v="0"/>
    <n v="0"/>
  </r>
  <r>
    <x v="1"/>
    <s v="La Guajira"/>
    <x v="7"/>
    <s v="Maicao y Albania"/>
    <x v="0"/>
    <s v="Individual"/>
    <n v="12104641668.792198"/>
    <x v="3"/>
    <x v="0"/>
    <n v="400"/>
    <n v="0"/>
    <n v="439.98499624906231"/>
    <n v="0"/>
    <n v="0"/>
  </r>
  <r>
    <x v="1"/>
    <s v="La Guajira"/>
    <x v="7"/>
    <s v="Maicao y Albania"/>
    <x v="0"/>
    <s v="Individual"/>
    <n v="12104641668.792198"/>
    <x v="4"/>
    <x v="1"/>
    <n v="400"/>
    <n v="0"/>
    <n v="439.98499624906231"/>
    <n v="0"/>
    <n v="0"/>
  </r>
  <r>
    <x v="1"/>
    <s v="La Guajira"/>
    <x v="7"/>
    <s v="Maicao y Albania"/>
    <x v="0"/>
    <s v="Individual"/>
    <n v="298500463552.41559"/>
    <x v="2"/>
    <x v="2"/>
    <n v="9864"/>
    <n v="0"/>
    <n v="10850.030007501877"/>
    <n v="0"/>
    <n v="0"/>
  </r>
  <r>
    <x v="2"/>
    <s v="Caqueta"/>
    <x v="8"/>
    <s v="Cartagena del Chaiira"/>
    <x v="0"/>
    <s v="Individual"/>
    <n v="6473467399.4701986"/>
    <x v="0"/>
    <x v="0"/>
    <n v="200"/>
    <n v="0"/>
    <n v="402.64900662251659"/>
    <n v="0"/>
    <n v="0"/>
  </r>
  <r>
    <x v="2"/>
    <s v="Caqueta"/>
    <x v="8"/>
    <s v="Cartagena del Chaiira"/>
    <x v="0"/>
    <s v="Individual"/>
    <n v="6473467399.4701986"/>
    <x v="5"/>
    <x v="1"/>
    <n v="200"/>
    <n v="0"/>
    <n v="402.64900662251659"/>
    <n v="0"/>
    <n v="0"/>
  </r>
  <r>
    <x v="2"/>
    <s v="Caqueta"/>
    <x v="8"/>
    <s v="Cartagena del Chaiira"/>
    <x v="0"/>
    <s v="Individual"/>
    <n v="11490404634.059603"/>
    <x v="2"/>
    <x v="2"/>
    <n v="355"/>
    <n v="0"/>
    <n v="714.70198675496692"/>
    <n v="0"/>
    <n v="0"/>
  </r>
  <r>
    <x v="2"/>
    <s v="Meta"/>
    <x v="9"/>
    <s v="La Uribe  "/>
    <x v="0"/>
    <s v="Individual"/>
    <n v="6265257182.2532396"/>
    <x v="6"/>
    <x v="0"/>
    <n v="200"/>
    <n v="0"/>
    <n v="241.27617148554336"/>
    <n v="0"/>
    <n v="0"/>
  </r>
  <r>
    <x v="2"/>
    <s v="Meta"/>
    <x v="9"/>
    <s v="La Uribe  "/>
    <x v="0"/>
    <s v="Individual"/>
    <n v="9397885773.3798599"/>
    <x v="5"/>
    <x v="1"/>
    <n v="300"/>
    <n v="0"/>
    <n v="361.91425722831502"/>
    <n v="0"/>
    <n v="0"/>
  </r>
  <r>
    <x v="2"/>
    <s v="Meta"/>
    <x v="9"/>
    <s v="La Uribe  "/>
    <x v="0"/>
    <s v="Individual"/>
    <n v="15757121813.366899"/>
    <x v="2"/>
    <x v="2"/>
    <n v="503"/>
    <n v="0"/>
    <n v="606.80957128614159"/>
    <n v="0"/>
    <n v="0"/>
  </r>
  <r>
    <x v="2"/>
    <s v="La Guajira"/>
    <x v="10"/>
    <s v="Uribia"/>
    <x v="0"/>
    <s v="Individual"/>
    <n v="3071326990.5"/>
    <x v="6"/>
    <x v="0"/>
    <n v="100"/>
    <n v="0"/>
    <n v="120"/>
    <n v="0"/>
    <n v="0"/>
  </r>
  <r>
    <x v="2"/>
    <s v="La Guajira"/>
    <x v="10"/>
    <s v="Uribia"/>
    <x v="0"/>
    <s v="Individual"/>
    <n v="4606990485.75"/>
    <x v="5"/>
    <x v="1"/>
    <n v="150"/>
    <n v="0"/>
    <n v="180"/>
    <n v="0"/>
    <n v="0"/>
  </r>
  <r>
    <x v="2"/>
    <s v="La Guajira"/>
    <x v="10"/>
    <s v="Uribia"/>
    <x v="0"/>
    <s v="Individual"/>
    <n v="23034952428.75"/>
    <x v="2"/>
    <x v="2"/>
    <n v="750"/>
    <n v="0"/>
    <n v="900"/>
    <n v="0"/>
    <n v="0"/>
  </r>
  <r>
    <x v="2"/>
    <s v="Putumayo"/>
    <x v="11"/>
    <s v="San Miguel, Valle del Guamuez,Villa Garzon,Puerto Guzman"/>
    <x v="0"/>
    <s v="Individual"/>
    <n v="12721335795.413759"/>
    <x v="3"/>
    <x v="0"/>
    <n v="400"/>
    <n v="0"/>
    <n v="508.47457627118644"/>
    <n v="0"/>
    <n v="0"/>
  </r>
  <r>
    <x v="2"/>
    <s v="Putumayo"/>
    <x v="11"/>
    <s v="San Miguel, Valle del Guamuez,Villa Garzon,Puerto Guzman"/>
    <x v="0"/>
    <s v="Individual"/>
    <n v="51076163218.586243"/>
    <x v="2"/>
    <x v="2"/>
    <n v="1606"/>
    <n v="0"/>
    <n v="2041.5254237288134"/>
    <n v="0"/>
    <n v="0"/>
  </r>
  <r>
    <x v="3"/>
    <s v="Atlantico"/>
    <x v="12"/>
    <s v="Atlantico"/>
    <x v="1"/>
    <s v="Individual"/>
    <n v="8256253500"/>
    <x v="0"/>
    <x v="0"/>
    <n v="500"/>
    <n v="12"/>
    <n v="750"/>
    <n v="18"/>
    <n v="2.4E-2"/>
  </r>
  <r>
    <x v="3"/>
    <s v="Atlantico"/>
    <x v="12"/>
    <s v="Atlantico"/>
    <x v="1"/>
    <s v="Individual"/>
    <n v="11278042281"/>
    <x v="7"/>
    <x v="1"/>
    <n v="683"/>
    <n v="0"/>
    <n v="1229.3999999999999"/>
    <n v="0"/>
    <n v="0"/>
  </r>
  <r>
    <x v="3"/>
    <s v="Atlantico"/>
    <x v="12"/>
    <s v="Atlantico"/>
    <x v="1"/>
    <s v="Individual"/>
    <n v="21746971719"/>
    <x v="8"/>
    <x v="2"/>
    <n v="1317"/>
    <n v="0"/>
    <n v="2370.6"/>
    <n v="0"/>
    <n v="0"/>
  </r>
  <r>
    <x v="4"/>
    <s v="La Guajira"/>
    <x v="13"/>
    <s v="MANAURE"/>
    <x v="2"/>
    <s v="Individual"/>
    <n v="56292206192"/>
    <x v="9"/>
    <x v="0"/>
    <n v="1344"/>
    <n v="0"/>
    <n v="1842.5"/>
    <n v="0"/>
    <n v="0"/>
  </r>
  <r>
    <x v="4"/>
    <s v="Cauca"/>
    <x v="14"/>
    <s v="ARGELIA, PATÍA, PIENDAMÓ, TUNÍA, SOTARÁ"/>
    <x v="2"/>
    <s v="Individual"/>
    <n v="11930657218"/>
    <x v="10"/>
    <x v="0"/>
    <n v="376"/>
    <n v="0"/>
    <n v="503.84"/>
    <n v="0"/>
    <n v="0"/>
  </r>
  <r>
    <x v="4"/>
    <s v="Cauca"/>
    <x v="15"/>
    <s v="GUAPI"/>
    <x v="2"/>
    <s v="Individual"/>
    <n v="959419512"/>
    <x v="11"/>
    <x v="0"/>
    <n v="80"/>
    <n v="0"/>
    <n v="58.08"/>
    <n v="0"/>
    <n v="0"/>
  </r>
  <r>
    <x v="4"/>
    <s v="Cauca"/>
    <x v="16"/>
    <s v="LOPEZ DE MICAY"/>
    <x v="2"/>
    <s v="Individual"/>
    <n v="7817475406"/>
    <x v="12"/>
    <x v="0"/>
    <n v="247"/>
    <n v="0"/>
    <n v="330.98"/>
    <n v="0"/>
    <n v="0"/>
  </r>
  <r>
    <x v="4"/>
    <s v="La Guajira"/>
    <x v="17"/>
    <s v="ALBANIA"/>
    <x v="2"/>
    <s v="Individual"/>
    <n v="10294382128"/>
    <x v="9"/>
    <x v="0"/>
    <n v="395"/>
    <n v="0"/>
    <n v="323.89999999999998"/>
    <n v="0"/>
    <n v="0"/>
  </r>
  <r>
    <x v="4"/>
    <s v="Vichada"/>
    <x v="18"/>
    <s v="LA PRIMAVERA"/>
    <x v="2"/>
    <s v="Individual"/>
    <n v="7215361382"/>
    <x v="13"/>
    <x v="1"/>
    <n v="228"/>
    <n v="0"/>
    <n v="250.8"/>
    <n v="0"/>
    <n v="0"/>
  </r>
  <r>
    <x v="5"/>
    <s v="Región 2 Caquetá"/>
    <x v="19"/>
    <s v="Florencia"/>
    <x v="3"/>
    <s v="Centralizadas"/>
    <n v="7623200000"/>
    <x v="7"/>
    <x v="1"/>
    <n v="500"/>
    <n v="0"/>
    <n v="1000"/>
    <n v="0"/>
    <n v="0"/>
  </r>
  <r>
    <x v="5"/>
    <s v="Región 3 Meta, Casanare y Arauca"/>
    <x v="20"/>
    <s v="Vista Hermosa (235 kWp)"/>
    <x v="3"/>
    <s v="Centralizadas"/>
    <n v="1903500000"/>
    <x v="7"/>
    <x v="1"/>
    <n v="150"/>
    <n v="0"/>
    <n v="265"/>
    <n v="0"/>
    <n v="0"/>
  </r>
  <r>
    <x v="5"/>
    <s v="Región 3 Meta, Casanare y Arauca"/>
    <x v="21"/>
    <s v="La Uribe (30 kWp)"/>
    <x v="3"/>
    <s v="Centralizadas"/>
    <n v="283500000"/>
    <x v="6"/>
    <x v="0"/>
    <n v="60"/>
    <n v="0"/>
    <n v="30"/>
    <n v="0"/>
    <n v="0"/>
  </r>
  <r>
    <x v="5"/>
    <s v="Región 3 Meta, Casanare y Arauca"/>
    <x v="22"/>
    <s v="Vista Hermosa (1.000 kWp)"/>
    <x v="3"/>
    <s v="Centralizadas"/>
    <n v="8245082995.6800003"/>
    <x v="14"/>
    <x v="0"/>
    <n v="500"/>
    <n v="0"/>
    <n v="2000"/>
    <n v="0"/>
    <n v="0"/>
  </r>
  <r>
    <x v="5"/>
    <s v="Región 3 Meta, Casanare y Arauca"/>
    <x v="23"/>
    <s v="Arauquita (1.000 kWp)"/>
    <x v="3"/>
    <s v="Centralizadas"/>
    <n v="8245082995.6800003"/>
    <x v="7"/>
    <x v="1"/>
    <n v="500"/>
    <n v="0"/>
    <n v="1000"/>
    <n v="0"/>
    <n v="0"/>
  </r>
  <r>
    <x v="5"/>
    <s v="Región 5 Huila y Tolima"/>
    <x v="24"/>
    <s v="Agrado"/>
    <x v="3"/>
    <s v="Centralizadas"/>
    <n v="6900000000"/>
    <x v="6"/>
    <x v="0"/>
    <n v="500"/>
    <n v="0"/>
    <n v="2000"/>
    <n v="0"/>
    <n v="0"/>
  </r>
  <r>
    <x v="5"/>
    <s v="Región 5 Huila y Tolima"/>
    <x v="25"/>
    <s v="Chaparral"/>
    <x v="3"/>
    <s v="Centralizadas"/>
    <n v="6900000000"/>
    <x v="15"/>
    <x v="3"/>
    <n v="210"/>
    <n v="0"/>
    <n v="500"/>
    <n v="0"/>
    <n v="0"/>
  </r>
  <r>
    <x v="5"/>
    <s v="Región 6 Cundinamarca"/>
    <x v="26"/>
    <s v="Beltrán"/>
    <x v="3"/>
    <s v="Centralizadas"/>
    <n v="5830684998.54"/>
    <x v="7"/>
    <x v="1"/>
    <n v="500"/>
    <n v="0"/>
    <n v="1000"/>
    <n v="0"/>
    <n v="0"/>
  </r>
  <r>
    <x v="5"/>
    <s v="Región 8 Boyacá, Santander y Norte de Santander"/>
    <x v="27"/>
    <s v="Barrancabermeja"/>
    <x v="3"/>
    <s v="Centralizadas"/>
    <n v="6540000000"/>
    <x v="6"/>
    <x v="0"/>
    <n v="500"/>
    <n v="0"/>
    <n v="1000"/>
    <n v="0"/>
    <n v="0"/>
  </r>
  <r>
    <x v="5"/>
    <s v="Región 8 Boyacá, Santander y Norte de Santander"/>
    <x v="28"/>
    <s v="Villa de Leyva"/>
    <x v="3"/>
    <s v="Centralizadas"/>
    <n v="6540000000"/>
    <x v="7"/>
    <x v="1"/>
    <n v="500"/>
    <n v="0"/>
    <n v="1000"/>
    <n v="0"/>
    <n v="0"/>
  </r>
  <r>
    <x v="5"/>
    <s v="Región 8 Boyacá, Santander y Norte de Santander"/>
    <x v="29"/>
    <s v="Tibú"/>
    <x v="3"/>
    <s v="Centralizadas"/>
    <n v="6540000000"/>
    <x v="16"/>
    <x v="2"/>
    <n v="500"/>
    <n v="0"/>
    <n v="1000"/>
    <n v="0"/>
    <n v="0"/>
  </r>
  <r>
    <x v="5"/>
    <s v="Región 11 Atlántico, Magdalena, César y Guajira"/>
    <x v="30"/>
    <s v="Jagua de Ibirico (2)"/>
    <x v="3"/>
    <s v="Centralizadas"/>
    <n v="684600000"/>
    <x v="7"/>
    <x v="1"/>
    <n v="100"/>
    <n v="0"/>
    <n v="105"/>
    <n v="0"/>
    <n v="0"/>
  </r>
  <r>
    <x v="5"/>
    <s v="Región 11 Atlántico, Magdalena, César y Guajira"/>
    <x v="31"/>
    <s v="Riohacha"/>
    <x v="3"/>
    <s v="Centralizadas"/>
    <n v="1128000000"/>
    <x v="7"/>
    <x v="1"/>
    <n v="210"/>
    <n v="0"/>
    <n v="24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0FA009-7131-44B3-8837-071B0D19EDD4}" name="TablaDinámica2" cacheId="70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gridDropZones="1" multipleFieldFilters="0">
  <location ref="A4:I48" firstHeaderRow="1" firstDataRow="2" firstDataCol="3" rowPageCount="2" colPageCount="1"/>
  <pivotFields count="14">
    <pivotField axis="axisRow" compact="0" outline="0" showAll="0">
      <items count="7">
        <item x="1"/>
        <item x="0"/>
        <item x="2"/>
        <item x="3"/>
        <item x="4"/>
        <item x="5"/>
        <item t="default"/>
      </items>
    </pivotField>
    <pivotField compact="0" outline="0" showAll="0"/>
    <pivotField axis="axisRow" compact="0" outline="0" showAll="0" defaultSubtotal="0">
      <items count="32">
        <item x="0"/>
        <item x="8"/>
        <item x="1"/>
        <item x="9"/>
        <item x="7"/>
        <item x="6"/>
        <item x="11"/>
        <item x="10"/>
        <item x="2"/>
        <item x="3"/>
        <item x="4"/>
        <item x="5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</items>
    </pivotField>
    <pivotField compact="0" outline="0" showAll="0"/>
    <pivotField axis="axisPage" compact="0" outline="0" showAll="0">
      <items count="5">
        <item x="1"/>
        <item x="0"/>
        <item x="3"/>
        <item x="2"/>
        <item t="default"/>
      </items>
    </pivotField>
    <pivotField compact="0" outline="0" showAll="0"/>
    <pivotField dataField="1" compact="0" numFmtId="166" outline="0" showAll="0"/>
    <pivotField axis="axisRow" compact="0" numFmtId="16" outline="0" showAll="0">
      <items count="18">
        <item x="0"/>
        <item x="3"/>
        <item x="6"/>
        <item x="1"/>
        <item x="5"/>
        <item x="2"/>
        <item x="4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axis="axisPage" compact="0" outline="0" multipleItemSelectionAllowed="1" showAll="0">
      <items count="5">
        <item x="0"/>
        <item x="1"/>
        <item h="1" x="2"/>
        <item h="1" x="3"/>
        <item t="default"/>
      </items>
    </pivotField>
    <pivotField dataField="1" compact="0" outline="0" showAll="0"/>
    <pivotField dataField="1" compact="0" outline="0" showAll="0"/>
    <pivotField dataField="1" compact="0" outline="0" showAll="0"/>
    <pivotField dataField="1" compact="0" numFmtId="2" outline="0" showAll="0"/>
    <pivotField dataField="1" compact="0" numFmtId="9" outline="0" showAll="0"/>
  </pivotFields>
  <rowFields count="3">
    <field x="0"/>
    <field x="2"/>
    <field x="7"/>
  </rowFields>
  <rowItems count="43">
    <i>
      <x/>
      <x v="4"/>
      <x v="1"/>
    </i>
    <i r="2">
      <x v="6"/>
    </i>
    <i t="default">
      <x/>
    </i>
    <i>
      <x v="1"/>
      <x/>
      <x/>
    </i>
    <i r="2">
      <x v="3"/>
    </i>
    <i r="1">
      <x v="2"/>
      <x/>
    </i>
    <i r="2">
      <x v="3"/>
    </i>
    <i r="1">
      <x v="8"/>
      <x v="3"/>
    </i>
    <i r="1">
      <x v="9"/>
      <x v="3"/>
    </i>
    <i r="1">
      <x v="10"/>
      <x v="3"/>
    </i>
    <i r="1">
      <x v="11"/>
      <x v="3"/>
    </i>
    <i t="default">
      <x v="1"/>
    </i>
    <i>
      <x v="2"/>
      <x v="1"/>
      <x/>
    </i>
    <i r="2">
      <x v="4"/>
    </i>
    <i r="1">
      <x v="3"/>
      <x v="2"/>
    </i>
    <i r="2">
      <x v="4"/>
    </i>
    <i r="1">
      <x v="6"/>
      <x v="1"/>
    </i>
    <i r="1">
      <x v="7"/>
      <x v="2"/>
    </i>
    <i r="2">
      <x v="4"/>
    </i>
    <i t="default">
      <x v="2"/>
    </i>
    <i>
      <x v="3"/>
      <x v="12"/>
      <x/>
    </i>
    <i r="2">
      <x v="7"/>
    </i>
    <i t="default">
      <x v="3"/>
    </i>
    <i>
      <x v="4"/>
      <x v="13"/>
      <x v="9"/>
    </i>
    <i r="1">
      <x v="14"/>
      <x v="10"/>
    </i>
    <i r="1">
      <x v="15"/>
      <x v="11"/>
    </i>
    <i r="1">
      <x v="16"/>
      <x v="12"/>
    </i>
    <i r="1">
      <x v="17"/>
      <x v="9"/>
    </i>
    <i r="1">
      <x v="18"/>
      <x v="13"/>
    </i>
    <i t="default">
      <x v="4"/>
    </i>
    <i>
      <x v="5"/>
      <x v="19"/>
      <x v="7"/>
    </i>
    <i r="1">
      <x v="20"/>
      <x v="7"/>
    </i>
    <i r="1">
      <x v="21"/>
      <x v="2"/>
    </i>
    <i r="1">
      <x v="22"/>
      <x v="14"/>
    </i>
    <i r="1">
      <x v="23"/>
      <x v="7"/>
    </i>
    <i r="1">
      <x v="24"/>
      <x v="2"/>
    </i>
    <i r="1">
      <x v="26"/>
      <x v="7"/>
    </i>
    <i r="1">
      <x v="27"/>
      <x v="2"/>
    </i>
    <i r="1">
      <x v="28"/>
      <x v="7"/>
    </i>
    <i r="1">
      <x v="30"/>
      <x v="7"/>
    </i>
    <i r="1">
      <x v="31"/>
      <x v="7"/>
    </i>
    <i t="default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2">
    <pageField fld="8" hier="-1"/>
    <pageField fld="4" hier="-1"/>
  </pageFields>
  <dataFields count="6">
    <dataField name="Suma de PLANEADO (USUARIOS)" fld="9" baseField="0" baseItem="0" numFmtId="3"/>
    <dataField name="Suma de EJECUTADO (USUARIOS)" fld="10" baseField="0" baseItem="0"/>
    <dataField name="Suma de CAPACIDAD (kWp) (PLANEADA)" fld="11" baseField="0" baseItem="0" numFmtId="3"/>
    <dataField name="Suma de CAPACIDAD (kWp) (EJECUTADA)" fld="12" baseField="0" baseItem="0" numFmtId="2"/>
    <dataField name="Suma de EFICIENCIA" fld="13" baseField="0" baseItem="0" numFmtId="9"/>
    <dataField name="Suma de INVERSIÓN" fld="6" baseField="0" baseItem="0" numFmtId="166"/>
  </dataFields>
  <formats count="7">
    <format dxfId="64">
      <pivotArea dataOnly="0" labelOnly="1" outline="0" fieldPosition="0">
        <references count="2">
          <reference field="0" count="1" selected="0">
            <x v="2"/>
          </reference>
          <reference field="2" count="1">
            <x v="6"/>
          </reference>
        </references>
      </pivotArea>
    </format>
    <format dxfId="65">
      <pivotArea outline="0" fieldPosition="0">
        <references count="1">
          <reference field="4294967294" count="1" selected="0">
            <x v="0"/>
          </reference>
        </references>
      </pivotArea>
    </format>
    <format dxfId="66">
      <pivotArea outline="0" fieldPosition="0">
        <references count="1">
          <reference field="4294967294" count="1" selected="0">
            <x v="2"/>
          </reference>
        </references>
      </pivotArea>
    </format>
    <format dxfId="67">
      <pivotArea field="0" type="button" dataOnly="0" labelOnly="1" outline="0" axis="axisRow" fieldPosition="0"/>
    </format>
    <format dxfId="68">
      <pivotArea field="2" type="button" dataOnly="0" labelOnly="1" outline="0" axis="axisRow" fieldPosition="1"/>
    </format>
    <format dxfId="69">
      <pivotArea field="7" type="button" dataOnly="0" labelOnly="1" outline="0" axis="axisRow" fieldPosition="2"/>
    </format>
    <format dxfId="7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BB347E-F9FD-4840-9C46-5D78EAC2FBA0}" name="Tabla1" displayName="Tabla1" ref="A1:AB18" totalsRowShown="0" headerRowDxfId="63" dataDxfId="62" headerRowBorderDxfId="60" tableBorderDxfId="61" totalsRowBorderDxfId="59">
  <autoFilter ref="A1:AB18" xr:uid="{5A2049F7-A5D9-4CF8-A09C-725920AA430A}">
    <filterColumn colId="3">
      <filters>
        <filter val="ELECTROCAQUETA"/>
      </filters>
    </filterColumn>
  </autoFilter>
  <tableColumns count="28">
    <tableColumn id="1" xr3:uid="{7F5D5FCB-DFD2-4E2B-A42F-1C77441B6324}" name="Proyecto" dataDxfId="58"/>
    <tableColumn id="2" xr3:uid="{B4F459DD-ED95-46E1-8AF2-06C682B5A919}" name="Departamento" dataDxfId="57"/>
    <tableColumn id="3" xr3:uid="{57A5F532-7257-4EE6-B9B6-414AF90D7783}" name="Municipio" dataDxfId="56"/>
    <tableColumn id="4" xr3:uid="{75A745D9-5637-4ACD-965C-D19B64A9E2D3}" name="Operador de Red" dataDxfId="55"/>
    <tableColumn id="5" xr3:uid="{F6CF2FBD-715C-43A5-9234-61E59C160185}" name="Inversion" dataDxfId="54"/>
    <tableColumn id="6" xr3:uid="{236EDFBB-C44B-4678-8359-0290F94E35B7}" name="Potencia a Instalar MWp" dataDxfId="53"/>
    <tableColumn id="7" xr3:uid="{4954368E-A8B2-4C2F-AAD2-1DC1E8C17565}" name="Usuarios Totales" dataDxfId="52"/>
    <tableColumn id="8" xr3:uid="{D6F5A9A8-63D7-43B1-851B-E4FAF3AE3F46}" name="05/05/2026" dataDxfId="51"/>
    <tableColumn id="9" xr3:uid="{332B928E-BCA1-45A6-96D4-02E01060B0C7}" name="10/05/2026" dataDxfId="50"/>
    <tableColumn id="10" xr3:uid="{7F589B9D-E769-4AD2-ADD3-32634D2D2E84}" name="15/05/2026" dataDxfId="49"/>
    <tableColumn id="11" xr3:uid="{B5B2CC39-46D1-4BF5-B62E-8634D544E933}" name="20/05/2026" dataDxfId="48"/>
    <tableColumn id="12" xr3:uid="{23B98875-75C7-48C5-9B9E-1A26998D6A04}" name="25/05/2026" dataDxfId="47"/>
    <tableColumn id="13" xr3:uid="{7BB532AE-69CF-4359-9C0D-CC142FC67A30}" name="30/05/2026" dataDxfId="46">
      <calculatedColumnFormula>+L2+10</calculatedColumnFormula>
    </tableColumn>
    <tableColumn id="14" xr3:uid="{EF5B4B15-580C-4B32-9B97-FA49FC3BA84B}" name="04/06/2026" dataDxfId="45"/>
    <tableColumn id="15" xr3:uid="{6A8FF05E-AD42-4EC3-8B6B-7ABA59ED4CC4}" name="09/06/2026" dataDxfId="44"/>
    <tableColumn id="16" xr3:uid="{2358E6AE-2C1F-452A-89A5-E51BC45CE914}" name="14/06/2026" dataDxfId="43">
      <calculatedColumnFormula>+O2+20</calculatedColumnFormula>
    </tableColumn>
    <tableColumn id="17" xr3:uid="{4A54233F-A8EF-4CD0-98DD-F111195B32BB}" name="20/06/2026" dataDxfId="42"/>
    <tableColumn id="18" xr3:uid="{C516984E-D3E3-4139-881E-510F51968D3F}" name="25/06/2026" dataDxfId="41"/>
    <tableColumn id="19" xr3:uid="{AF223BD1-8C37-4D4A-B1CD-F871244720B6}" name="30/06/2026" dataDxfId="40">
      <calculatedColumnFormula>+R2+10</calculatedColumnFormula>
    </tableColumn>
    <tableColumn id="20" xr3:uid="{351B745B-ACCB-4F6F-BF29-F17F1EB37233}" name="05/07/2026" dataDxfId="39"/>
    <tableColumn id="21" xr3:uid="{BCE93C47-FBF3-4E35-8FE1-DD3F55B10A8F}" name="10/07/2026" dataDxfId="38"/>
    <tableColumn id="22" xr3:uid="{0216FBA9-854A-4520-88C3-08F356E04187}" name="15/07/2026" dataDxfId="37"/>
    <tableColumn id="23" xr3:uid="{C01C26D0-4DA2-4C92-A9D6-0A742720A7DB}" name="20/07/2026" dataDxfId="36"/>
    <tableColumn id="24" xr3:uid="{5DF28297-34AA-426C-A192-C32D0384C9F8}" name="25/07/2026" dataDxfId="35"/>
    <tableColumn id="25" xr3:uid="{ED3341C0-EFCA-431B-A178-BA79AD7CD798}" name="30/07/2026" dataDxfId="34"/>
    <tableColumn id="26" xr3:uid="{30A877F5-1A41-477E-81F8-2B805C67CB7D}" name="potencia instalar 20/05/2026" dataDxfId="33">
      <calculatedColumnFormula>+(K2*F2)/G2</calculatedColumnFormula>
    </tableColumn>
    <tableColumn id="27" xr3:uid="{B5657236-B315-4189-9031-76861DE57020}" name="potencia instalar 20/06/2027" dataDxfId="32">
      <calculatedColumnFormula>+(Q2*F2)/G2</calculatedColumnFormula>
    </tableColumn>
    <tableColumn id="28" xr3:uid="{2134DABA-F9BD-4DD5-B4C2-3FA7719AA4CB}" name="potencia instalar 30/07/2028" dataDxfId="31">
      <calculatedColumnFormula>+(Y2*F2)/G2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4525F7-5E42-43EB-A484-44007B6FD933}" name="Tabla2" displayName="Tabla2" ref="A1:AB18" totalsRowShown="0" headerRowDxfId="30" dataDxfId="29" tableBorderDxfId="28">
  <autoFilter ref="A1:AB18" xr:uid="{3C36689C-069D-49C4-A35A-F64F2D3B87D6}">
    <filterColumn colId="3">
      <filters>
        <filter val="ELECTROCAQUETA"/>
      </filters>
    </filterColumn>
  </autoFilter>
  <tableColumns count="28">
    <tableColumn id="1" xr3:uid="{065B542D-49BA-4299-87FD-45591F2BCC41}" name="Proyecto" dataDxfId="27"/>
    <tableColumn id="2" xr3:uid="{3AC75321-7CEE-410B-8C95-E1027D8720AD}" name="Departamento" dataDxfId="26"/>
    <tableColumn id="3" xr3:uid="{9F3C5304-BAC9-44CC-BABA-658373885A4C}" name="Municipio" dataDxfId="25"/>
    <tableColumn id="4" xr3:uid="{78AB8C5A-1F9A-48F1-8392-86A5488C3086}" name="Operador de Red" dataDxfId="24"/>
    <tableColumn id="5" xr3:uid="{CEFC8B14-84EC-45CF-86CE-DEAB287F3361}" name="Inversion" dataDxfId="23"/>
    <tableColumn id="6" xr3:uid="{065C570C-9DCB-4CFF-96E0-C506D24E2783}" name="Potencia a Instalar MWp" dataDxfId="22"/>
    <tableColumn id="7" xr3:uid="{1C9FC6A0-CAB7-4B91-8AC9-E2A5169B3ACE}" name="Usuarios Totales" dataDxfId="21"/>
    <tableColumn id="8" xr3:uid="{2EA60EFE-ABC5-47F3-A0DE-607171AEF581}" name="05/05/2026" dataDxfId="20"/>
    <tableColumn id="9" xr3:uid="{D837EEB8-0E28-4D9E-8D33-455298D22AD9}" name="10/05/2026" dataDxfId="19"/>
    <tableColumn id="10" xr3:uid="{392B62E3-09AA-4A1D-BFF2-A8AB242E2BAA}" name="15/05/2026" dataDxfId="18"/>
    <tableColumn id="11" xr3:uid="{5DC74ECB-5E34-4706-A5D0-76DEB1C58857}" name="20/05/2026" dataDxfId="17"/>
    <tableColumn id="12" xr3:uid="{62CC1894-357E-4924-88FF-8FEE13BB1F75}" name="25/05/2026" dataDxfId="16"/>
    <tableColumn id="13" xr3:uid="{18AD7026-E60F-4EB8-B855-C46DF387A4D6}" name="30/05/2026" dataDxfId="15"/>
    <tableColumn id="14" xr3:uid="{F8C4322C-2429-4644-99AF-E1891A44BCD5}" name="04/06/2026" dataDxfId="14"/>
    <tableColumn id="15" xr3:uid="{864D8F15-A26C-4B0D-B1DA-9682B3152D3B}" name="09/06/2026" dataDxfId="13"/>
    <tableColumn id="16" xr3:uid="{2621E8A9-12DF-4DC6-A9CE-F80083CFEC71}" name="14/06/2026" dataDxfId="12"/>
    <tableColumn id="17" xr3:uid="{D6AD0A36-3C71-48D4-AD5E-E9DDFF24C716}" name="20/06/2026" dataDxfId="11"/>
    <tableColumn id="18" xr3:uid="{AAB24FAB-8ABB-4076-B564-E36387A36CF4}" name="25/06/2026" dataDxfId="10"/>
    <tableColumn id="19" xr3:uid="{3234D010-64B1-4D65-ABB2-C150D8050355}" name="30/06/2026" dataDxfId="9"/>
    <tableColumn id="20" xr3:uid="{73FDFC62-AF3D-4755-87B0-1F45F5452CA4}" name="05/07/2026" dataDxfId="8"/>
    <tableColumn id="21" xr3:uid="{D7C61B08-44FA-4B41-A116-6812A98354F7}" name="10/07/2026" dataDxfId="7"/>
    <tableColumn id="22" xr3:uid="{75C06DB0-66AB-4F7C-8543-564836B17FA4}" name="15/07/2026" dataDxfId="6"/>
    <tableColumn id="23" xr3:uid="{09ACDFE6-F10A-4D61-8891-1FEE8E959259}" name="20/07/2026" dataDxfId="5"/>
    <tableColumn id="24" xr3:uid="{670FCB7F-5430-442C-962A-B64AB75AB109}" name="25/07/2026" dataDxfId="4"/>
    <tableColumn id="25" xr3:uid="{04C9EBA3-E3D4-453A-BFD8-85D7B52A376B}" name="30/07/2026" dataDxfId="3"/>
    <tableColumn id="26" xr3:uid="{56F904BD-E8A3-40FC-8967-33E37D51A71D}" name="potencia instalar 20/05/2026" dataDxfId="2"/>
    <tableColumn id="27" xr3:uid="{FDFCD535-0503-41E9-83E7-712B4110F402}" name="potencia instalar 20/06/2027" dataDxfId="1"/>
    <tableColumn id="28" xr3:uid="{8489E76D-E318-49B6-8A78-BF1859D96853}" name="potencia instalar 30/07/2028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E5F04-D975-4B77-A372-E28CB747EBC5}">
  <dimension ref="A1:N20"/>
  <sheetViews>
    <sheetView workbookViewId="0">
      <selection activeCell="J20" sqref="J20"/>
    </sheetView>
  </sheetViews>
  <sheetFormatPr defaultColWidth="11.42578125" defaultRowHeight="14.25"/>
  <cols>
    <col min="2" max="2" width="20" bestFit="1" customWidth="1"/>
    <col min="3" max="3" width="29.28515625" bestFit="1" customWidth="1"/>
    <col min="4" max="4" width="18.42578125" bestFit="1" customWidth="1"/>
    <col min="7" max="8" width="18.42578125" customWidth="1"/>
    <col min="9" max="9" width="15.7109375" customWidth="1"/>
    <col min="10" max="10" width="20" customWidth="1"/>
    <col min="11" max="11" width="17" bestFit="1" customWidth="1"/>
    <col min="12" max="12" width="5.5703125" bestFit="1" customWidth="1"/>
  </cols>
  <sheetData>
    <row r="1" spans="1:14">
      <c r="A1" s="26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8" t="s">
        <v>11</v>
      </c>
      <c r="M1" s="29"/>
    </row>
    <row r="2" spans="1:14">
      <c r="A2" s="30">
        <v>1</v>
      </c>
      <c r="B2" s="31" t="s">
        <v>12</v>
      </c>
      <c r="C2" s="31" t="s">
        <v>12</v>
      </c>
      <c r="D2" s="32">
        <v>53908378733</v>
      </c>
      <c r="E2" s="33">
        <v>23</v>
      </c>
      <c r="F2" s="33">
        <v>1367</v>
      </c>
      <c r="G2" s="33">
        <v>2.02</v>
      </c>
      <c r="H2" s="33">
        <v>2020</v>
      </c>
      <c r="I2" s="46">
        <v>46295</v>
      </c>
      <c r="J2" s="31" t="s">
        <v>13</v>
      </c>
      <c r="K2" s="31" t="s">
        <v>14</v>
      </c>
      <c r="L2" s="34" t="s">
        <v>15</v>
      </c>
      <c r="N2">
        <f>G2*1000</f>
        <v>2020</v>
      </c>
    </row>
    <row r="3" spans="1:14">
      <c r="A3" s="30">
        <v>2</v>
      </c>
      <c r="B3" s="31" t="s">
        <v>16</v>
      </c>
      <c r="C3" s="31" t="s">
        <v>17</v>
      </c>
      <c r="D3" s="32">
        <v>24437339433</v>
      </c>
      <c r="E3" s="33">
        <v>69</v>
      </c>
      <c r="F3" s="33">
        <v>755</v>
      </c>
      <c r="G3" s="33">
        <v>1.52</v>
      </c>
      <c r="H3" s="33">
        <v>1520</v>
      </c>
      <c r="I3" s="46">
        <v>46223</v>
      </c>
      <c r="J3" s="31" t="s">
        <v>18</v>
      </c>
      <c r="K3" s="31" t="s">
        <v>19</v>
      </c>
      <c r="L3" s="34" t="s">
        <v>15</v>
      </c>
      <c r="N3">
        <f t="shared" ref="N3:N19" si="0">G3*1000</f>
        <v>1520</v>
      </c>
    </row>
    <row r="4" spans="1:14">
      <c r="A4" s="30">
        <v>3</v>
      </c>
      <c r="B4" s="31" t="s">
        <v>20</v>
      </c>
      <c r="C4" s="31" t="s">
        <v>21</v>
      </c>
      <c r="D4" s="32">
        <v>18447808737</v>
      </c>
      <c r="E4" s="33">
        <v>57</v>
      </c>
      <c r="F4" s="33">
        <v>623</v>
      </c>
      <c r="G4" s="33">
        <v>0.76</v>
      </c>
      <c r="H4" s="33">
        <v>760</v>
      </c>
      <c r="I4" s="46">
        <v>46162</v>
      </c>
      <c r="J4" s="31" t="s">
        <v>22</v>
      </c>
      <c r="K4" s="31" t="s">
        <v>23</v>
      </c>
      <c r="L4" s="34" t="s">
        <v>15</v>
      </c>
      <c r="N4">
        <f t="shared" si="0"/>
        <v>760</v>
      </c>
    </row>
    <row r="5" spans="1:14">
      <c r="A5" s="30">
        <v>4</v>
      </c>
      <c r="B5" s="31" t="s">
        <v>20</v>
      </c>
      <c r="C5" s="31" t="s">
        <v>24</v>
      </c>
      <c r="D5" s="32">
        <v>18114661005</v>
      </c>
      <c r="E5" s="33">
        <v>57</v>
      </c>
      <c r="F5" s="33">
        <v>624</v>
      </c>
      <c r="G5" s="33">
        <v>0.76</v>
      </c>
      <c r="H5" s="33">
        <v>760</v>
      </c>
      <c r="I5" s="46">
        <v>46162</v>
      </c>
      <c r="J5" s="31" t="s">
        <v>22</v>
      </c>
      <c r="K5" s="31" t="s">
        <v>23</v>
      </c>
      <c r="L5" s="34" t="s">
        <v>15</v>
      </c>
      <c r="N5">
        <f t="shared" si="0"/>
        <v>760</v>
      </c>
    </row>
    <row r="6" spans="1:14">
      <c r="A6" s="30">
        <v>5</v>
      </c>
      <c r="B6" s="31" t="s">
        <v>25</v>
      </c>
      <c r="C6" s="31" t="s">
        <v>26</v>
      </c>
      <c r="D6" s="32">
        <v>79316865070</v>
      </c>
      <c r="E6" s="33">
        <v>34</v>
      </c>
      <c r="F6" s="33">
        <v>2036</v>
      </c>
      <c r="G6" s="33">
        <v>4</v>
      </c>
      <c r="H6" s="33">
        <v>4000</v>
      </c>
      <c r="I6" s="46">
        <v>46234</v>
      </c>
      <c r="J6" s="31" t="s">
        <v>27</v>
      </c>
      <c r="K6" s="31" t="s">
        <v>14</v>
      </c>
      <c r="L6" s="34" t="s">
        <v>15</v>
      </c>
      <c r="N6">
        <f t="shared" si="0"/>
        <v>4000</v>
      </c>
    </row>
    <row r="7" spans="1:14">
      <c r="A7" s="30">
        <v>6</v>
      </c>
      <c r="B7" s="31" t="s">
        <v>25</v>
      </c>
      <c r="C7" s="31" t="s">
        <v>28</v>
      </c>
      <c r="D7" s="32">
        <v>83008042889</v>
      </c>
      <c r="E7" s="33">
        <v>38</v>
      </c>
      <c r="F7" s="33">
        <v>2295</v>
      </c>
      <c r="G7" s="33">
        <v>3</v>
      </c>
      <c r="H7" s="33">
        <v>3000</v>
      </c>
      <c r="I7" s="46">
        <v>46223</v>
      </c>
      <c r="J7" s="31" t="s">
        <v>18</v>
      </c>
      <c r="K7" s="31" t="s">
        <v>14</v>
      </c>
      <c r="L7" s="34" t="s">
        <v>15</v>
      </c>
      <c r="N7">
        <f t="shared" si="0"/>
        <v>3000</v>
      </c>
    </row>
    <row r="8" spans="1:14">
      <c r="A8" s="30">
        <v>7</v>
      </c>
      <c r="B8" s="31" t="s">
        <v>29</v>
      </c>
      <c r="C8" s="31" t="s">
        <v>30</v>
      </c>
      <c r="D8" s="32">
        <v>322709746890</v>
      </c>
      <c r="E8" s="33">
        <v>969</v>
      </c>
      <c r="F8" s="33">
        <v>10664</v>
      </c>
      <c r="G8" s="33">
        <v>11.73</v>
      </c>
      <c r="H8" s="33">
        <v>11730</v>
      </c>
      <c r="I8" s="46">
        <v>46234</v>
      </c>
      <c r="J8" s="31" t="s">
        <v>27</v>
      </c>
      <c r="K8" s="31" t="s">
        <v>19</v>
      </c>
      <c r="L8" s="34" t="s">
        <v>15</v>
      </c>
      <c r="N8">
        <f t="shared" si="0"/>
        <v>11730</v>
      </c>
    </row>
    <row r="9" spans="1:14">
      <c r="A9" s="30">
        <v>8</v>
      </c>
      <c r="B9" s="31" t="s">
        <v>29</v>
      </c>
      <c r="C9" s="31" t="s">
        <v>31</v>
      </c>
      <c r="D9" s="32">
        <v>30713269905</v>
      </c>
      <c r="E9" s="33">
        <v>91</v>
      </c>
      <c r="F9" s="33">
        <v>1000</v>
      </c>
      <c r="G9" s="33">
        <v>1.2</v>
      </c>
      <c r="H9" s="33">
        <v>1200</v>
      </c>
      <c r="I9" s="46">
        <v>46223</v>
      </c>
      <c r="J9" s="31" t="s">
        <v>18</v>
      </c>
      <c r="K9" s="31" t="s">
        <v>19</v>
      </c>
      <c r="L9" s="34" t="s">
        <v>15</v>
      </c>
      <c r="N9">
        <f t="shared" si="0"/>
        <v>1200</v>
      </c>
    </row>
    <row r="10" spans="1:14">
      <c r="A10" s="30">
        <v>9</v>
      </c>
      <c r="B10" s="31" t="s">
        <v>32</v>
      </c>
      <c r="C10" s="31" t="s">
        <v>33</v>
      </c>
      <c r="D10" s="32">
        <v>51087244522</v>
      </c>
      <c r="E10" s="33">
        <v>144</v>
      </c>
      <c r="F10" s="33">
        <v>1581</v>
      </c>
      <c r="G10" s="33">
        <v>1.74</v>
      </c>
      <c r="H10" s="33">
        <v>1740</v>
      </c>
      <c r="I10" s="46">
        <v>46193</v>
      </c>
      <c r="J10" s="31" t="s">
        <v>22</v>
      </c>
      <c r="K10" s="31" t="s">
        <v>19</v>
      </c>
      <c r="L10" s="34" t="s">
        <v>15</v>
      </c>
      <c r="N10">
        <f t="shared" si="0"/>
        <v>1740</v>
      </c>
    </row>
    <row r="11" spans="1:14">
      <c r="A11" s="30">
        <v>10</v>
      </c>
      <c r="B11" s="31" t="s">
        <v>34</v>
      </c>
      <c r="C11" s="31" t="s">
        <v>35</v>
      </c>
      <c r="D11" s="32">
        <v>31420264769</v>
      </c>
      <c r="E11" s="33">
        <v>91</v>
      </c>
      <c r="F11" s="33">
        <v>1003</v>
      </c>
      <c r="G11" s="33">
        <v>1.21</v>
      </c>
      <c r="H11" s="33">
        <v>1210</v>
      </c>
      <c r="I11" s="46">
        <v>46223</v>
      </c>
      <c r="J11" s="31" t="s">
        <v>18</v>
      </c>
      <c r="K11" s="31" t="s">
        <v>19</v>
      </c>
      <c r="L11" s="34" t="s">
        <v>15</v>
      </c>
      <c r="N11">
        <f t="shared" si="0"/>
        <v>1210</v>
      </c>
    </row>
    <row r="12" spans="1:14">
      <c r="A12" s="30">
        <v>11</v>
      </c>
      <c r="B12" s="31" t="s">
        <v>36</v>
      </c>
      <c r="C12" s="31" t="s">
        <v>37</v>
      </c>
      <c r="D12" s="32">
        <v>27742028640</v>
      </c>
      <c r="E12" s="33">
        <v>78</v>
      </c>
      <c r="F12" s="33">
        <v>862</v>
      </c>
      <c r="G12" s="33">
        <v>0.95</v>
      </c>
      <c r="H12" s="33">
        <v>950</v>
      </c>
      <c r="I12" s="46">
        <v>46193</v>
      </c>
      <c r="J12" s="31" t="s">
        <v>22</v>
      </c>
      <c r="K12" s="31" t="s">
        <v>19</v>
      </c>
      <c r="L12" s="34" t="s">
        <v>15</v>
      </c>
      <c r="N12">
        <f t="shared" si="0"/>
        <v>950</v>
      </c>
    </row>
    <row r="13" spans="1:14" ht="85.5">
      <c r="A13" s="30">
        <v>12</v>
      </c>
      <c r="B13" s="35" t="s">
        <v>38</v>
      </c>
      <c r="C13" s="36" t="s">
        <v>39</v>
      </c>
      <c r="D13" s="32">
        <v>121589085878</v>
      </c>
      <c r="E13" s="33">
        <v>344</v>
      </c>
      <c r="F13" s="33">
        <v>3783</v>
      </c>
      <c r="G13" s="33">
        <v>4.16</v>
      </c>
      <c r="H13" s="33">
        <v>4160</v>
      </c>
      <c r="I13" s="46">
        <v>46193</v>
      </c>
      <c r="J13" s="31" t="s">
        <v>22</v>
      </c>
      <c r="K13" s="31" t="s">
        <v>19</v>
      </c>
      <c r="L13" s="34" t="s">
        <v>15</v>
      </c>
      <c r="N13">
        <f t="shared" si="0"/>
        <v>4160</v>
      </c>
    </row>
    <row r="14" spans="1:14">
      <c r="A14" s="30">
        <v>13</v>
      </c>
      <c r="B14" s="31" t="s">
        <v>40</v>
      </c>
      <c r="C14" s="31" t="s">
        <v>41</v>
      </c>
      <c r="D14" s="32">
        <v>6880380834</v>
      </c>
      <c r="E14" s="33">
        <v>20</v>
      </c>
      <c r="F14" s="33">
        <v>217</v>
      </c>
      <c r="G14" s="33">
        <v>0.31</v>
      </c>
      <c r="H14" s="33">
        <v>310</v>
      </c>
      <c r="I14" s="46">
        <v>46223</v>
      </c>
      <c r="J14" s="31" t="s">
        <v>18</v>
      </c>
      <c r="K14" s="31" t="s">
        <v>19</v>
      </c>
      <c r="L14" s="34" t="s">
        <v>15</v>
      </c>
      <c r="N14">
        <f t="shared" si="0"/>
        <v>310</v>
      </c>
    </row>
    <row r="15" spans="1:14">
      <c r="A15" s="30">
        <v>14</v>
      </c>
      <c r="B15" s="31" t="s">
        <v>40</v>
      </c>
      <c r="C15" s="31" t="s">
        <v>42</v>
      </c>
      <c r="D15" s="32">
        <v>22802905997</v>
      </c>
      <c r="E15" s="33">
        <v>65</v>
      </c>
      <c r="F15" s="33">
        <v>719</v>
      </c>
      <c r="G15" s="33">
        <v>0.72</v>
      </c>
      <c r="H15" s="33">
        <v>720</v>
      </c>
      <c r="I15" s="46">
        <v>46223</v>
      </c>
      <c r="J15" s="31" t="s">
        <v>18</v>
      </c>
      <c r="K15" s="31" t="s">
        <v>19</v>
      </c>
      <c r="L15" s="34" t="s">
        <v>15</v>
      </c>
      <c r="N15">
        <f t="shared" si="0"/>
        <v>720</v>
      </c>
    </row>
    <row r="16" spans="1:14">
      <c r="A16" s="30">
        <v>15</v>
      </c>
      <c r="B16" s="31" t="s">
        <v>40</v>
      </c>
      <c r="C16" s="31" t="s">
        <v>43</v>
      </c>
      <c r="D16" s="32">
        <v>9349545113</v>
      </c>
      <c r="E16" s="33">
        <v>27</v>
      </c>
      <c r="F16" s="33">
        <v>293</v>
      </c>
      <c r="G16" s="33">
        <v>0.42</v>
      </c>
      <c r="H16" s="33">
        <v>420</v>
      </c>
      <c r="I16" s="46">
        <v>46223</v>
      </c>
      <c r="J16" s="31" t="s">
        <v>18</v>
      </c>
      <c r="K16" s="31" t="s">
        <v>19</v>
      </c>
      <c r="L16" s="34" t="s">
        <v>15</v>
      </c>
      <c r="N16">
        <f t="shared" si="0"/>
        <v>420</v>
      </c>
    </row>
    <row r="17" spans="1:14">
      <c r="A17" s="30">
        <v>16</v>
      </c>
      <c r="B17" s="31" t="s">
        <v>40</v>
      </c>
      <c r="C17" s="31" t="s">
        <v>44</v>
      </c>
      <c r="D17" s="32">
        <v>24764667070</v>
      </c>
      <c r="E17" s="33">
        <v>71</v>
      </c>
      <c r="F17" s="33">
        <v>777</v>
      </c>
      <c r="G17" s="33">
        <v>1.1000000000000001</v>
      </c>
      <c r="H17" s="33">
        <v>1100</v>
      </c>
      <c r="I17" s="46">
        <v>46223</v>
      </c>
      <c r="J17" s="31" t="s">
        <v>18</v>
      </c>
      <c r="K17" s="31" t="s">
        <v>19</v>
      </c>
      <c r="L17" s="34" t="s">
        <v>15</v>
      </c>
      <c r="N17">
        <f t="shared" si="0"/>
        <v>1100</v>
      </c>
    </row>
    <row r="18" spans="1:14" ht="42.75">
      <c r="A18" s="30">
        <v>17</v>
      </c>
      <c r="B18" s="31" t="s">
        <v>45</v>
      </c>
      <c r="C18" s="37" t="s">
        <v>46</v>
      </c>
      <c r="D18" s="32">
        <v>37573918087</v>
      </c>
      <c r="E18" s="33">
        <v>105</v>
      </c>
      <c r="F18" s="33">
        <v>1158</v>
      </c>
      <c r="G18" s="33">
        <v>1.27</v>
      </c>
      <c r="H18" s="33">
        <v>1270</v>
      </c>
      <c r="I18" s="46">
        <v>46193</v>
      </c>
      <c r="J18" s="31" t="s">
        <v>22</v>
      </c>
      <c r="K18" s="31" t="s">
        <v>19</v>
      </c>
      <c r="L18" s="34" t="s">
        <v>15</v>
      </c>
      <c r="N18">
        <f t="shared" si="0"/>
        <v>1270</v>
      </c>
    </row>
    <row r="19" spans="1:14" ht="14.65" thickBot="1">
      <c r="A19" s="30">
        <v>18</v>
      </c>
      <c r="B19" s="38" t="s">
        <v>45</v>
      </c>
      <c r="C19" s="38" t="s">
        <v>47</v>
      </c>
      <c r="D19" s="39">
        <v>4402514558</v>
      </c>
      <c r="E19" s="40">
        <v>14</v>
      </c>
      <c r="F19" s="40">
        <v>154</v>
      </c>
      <c r="G19" s="40">
        <v>0.19</v>
      </c>
      <c r="H19" s="40">
        <v>190</v>
      </c>
      <c r="I19" s="46">
        <v>46193</v>
      </c>
      <c r="J19" s="38" t="s">
        <v>22</v>
      </c>
      <c r="K19" s="38" t="s">
        <v>19</v>
      </c>
      <c r="L19" s="41" t="s">
        <v>15</v>
      </c>
      <c r="N19">
        <f t="shared" si="0"/>
        <v>190</v>
      </c>
    </row>
    <row r="20" spans="1:14" ht="14.65" thickBot="1">
      <c r="A20" s="106" t="s">
        <v>48</v>
      </c>
      <c r="B20" s="107"/>
      <c r="C20" s="107"/>
      <c r="D20" s="42">
        <f>+SUM(D2:D19)</f>
        <v>968268668130</v>
      </c>
      <c r="E20" s="43">
        <f>+SUM(E2:E19)</f>
        <v>2297</v>
      </c>
      <c r="F20" s="43">
        <f>+SUM(F2:F19)</f>
        <v>29911</v>
      </c>
      <c r="G20" s="43">
        <f>+SUM(G2:G19)</f>
        <v>37.06</v>
      </c>
      <c r="H20" s="43">
        <f>SUM(H2:H19)</f>
        <v>37060</v>
      </c>
      <c r="I20" s="43"/>
      <c r="J20" s="44"/>
      <c r="K20" s="44"/>
      <c r="L20" s="45"/>
    </row>
  </sheetData>
  <autoFilter ref="A1:M20" xr:uid="{00000000-0009-0000-0000-000000000000}"/>
  <mergeCells count="1">
    <mergeCell ref="A20:C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51C58-0D5B-4BDC-9CDC-235DEBBD39C3}">
  <dimension ref="A1:K20"/>
  <sheetViews>
    <sheetView workbookViewId="0">
      <selection activeCell="C13" sqref="C13"/>
    </sheetView>
  </sheetViews>
  <sheetFormatPr defaultColWidth="11.42578125" defaultRowHeight="14.25"/>
  <cols>
    <col min="2" max="2" width="20" bestFit="1" customWidth="1"/>
    <col min="3" max="3" width="29.28515625" bestFit="1" customWidth="1"/>
    <col min="4" max="4" width="18.28515625" bestFit="1" customWidth="1"/>
    <col min="7" max="7" width="18.42578125" customWidth="1"/>
    <col min="8" max="8" width="20" customWidth="1"/>
    <col min="9" max="9" width="17" bestFit="1" customWidth="1"/>
    <col min="10" max="10" width="5.5703125" bestFit="1" customWidth="1"/>
  </cols>
  <sheetData>
    <row r="1" spans="1:11">
      <c r="A1" s="26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9</v>
      </c>
      <c r="I1" s="27" t="s">
        <v>10</v>
      </c>
      <c r="J1" s="28" t="s">
        <v>11</v>
      </c>
      <c r="K1" s="29"/>
    </row>
    <row r="2" spans="1:11">
      <c r="A2" s="30">
        <v>1</v>
      </c>
      <c r="B2" s="31" t="s">
        <v>12</v>
      </c>
      <c r="C2" s="31" t="s">
        <v>12</v>
      </c>
      <c r="D2" s="32">
        <v>53908378733</v>
      </c>
      <c r="E2" s="33">
        <v>23</v>
      </c>
      <c r="F2" s="33">
        <v>1367</v>
      </c>
      <c r="G2" s="33">
        <v>2.02</v>
      </c>
      <c r="H2" s="31" t="s">
        <v>13</v>
      </c>
      <c r="I2" s="31" t="s">
        <v>14</v>
      </c>
      <c r="J2" s="34" t="s">
        <v>15</v>
      </c>
    </row>
    <row r="3" spans="1:11">
      <c r="A3" s="30">
        <v>2</v>
      </c>
      <c r="B3" s="31" t="s">
        <v>16</v>
      </c>
      <c r="C3" s="31" t="s">
        <v>17</v>
      </c>
      <c r="D3" s="32">
        <v>24437339433</v>
      </c>
      <c r="E3" s="33">
        <v>69</v>
      </c>
      <c r="F3" s="33">
        <v>755</v>
      </c>
      <c r="G3" s="33">
        <v>1.52</v>
      </c>
      <c r="H3" s="31" t="s">
        <v>18</v>
      </c>
      <c r="I3" s="31" t="s">
        <v>19</v>
      </c>
      <c r="J3" s="34" t="s">
        <v>15</v>
      </c>
    </row>
    <row r="4" spans="1:11">
      <c r="A4" s="30">
        <v>3</v>
      </c>
      <c r="B4" s="31" t="s">
        <v>20</v>
      </c>
      <c r="C4" s="31" t="s">
        <v>21</v>
      </c>
      <c r="D4" s="32">
        <v>18447808737</v>
      </c>
      <c r="E4" s="33">
        <v>57</v>
      </c>
      <c r="F4" s="33">
        <v>623</v>
      </c>
      <c r="G4" s="33">
        <v>0.76</v>
      </c>
      <c r="H4" s="31" t="s">
        <v>22</v>
      </c>
      <c r="I4" s="31" t="s">
        <v>23</v>
      </c>
      <c r="J4" s="34" t="s">
        <v>15</v>
      </c>
    </row>
    <row r="5" spans="1:11">
      <c r="A5" s="30">
        <v>4</v>
      </c>
      <c r="B5" s="31" t="s">
        <v>20</v>
      </c>
      <c r="C5" s="31" t="s">
        <v>24</v>
      </c>
      <c r="D5" s="32">
        <v>18114661005</v>
      </c>
      <c r="E5" s="33">
        <v>57</v>
      </c>
      <c r="F5" s="33">
        <v>624</v>
      </c>
      <c r="G5" s="33">
        <v>0.76</v>
      </c>
      <c r="H5" s="31" t="s">
        <v>22</v>
      </c>
      <c r="I5" s="31" t="s">
        <v>23</v>
      </c>
      <c r="J5" s="34" t="s">
        <v>15</v>
      </c>
    </row>
    <row r="6" spans="1:11">
      <c r="A6" s="30">
        <v>5</v>
      </c>
      <c r="B6" s="31" t="s">
        <v>25</v>
      </c>
      <c r="C6" s="31" t="s">
        <v>26</v>
      </c>
      <c r="D6" s="32">
        <v>79316865070</v>
      </c>
      <c r="E6" s="33">
        <v>34</v>
      </c>
      <c r="F6" s="33">
        <v>2036</v>
      </c>
      <c r="G6" s="33">
        <v>4</v>
      </c>
      <c r="H6" s="31" t="s">
        <v>27</v>
      </c>
      <c r="I6" s="31" t="s">
        <v>14</v>
      </c>
      <c r="J6" s="34" t="s">
        <v>15</v>
      </c>
    </row>
    <row r="7" spans="1:11">
      <c r="A7" s="30">
        <v>6</v>
      </c>
      <c r="B7" s="31" t="s">
        <v>25</v>
      </c>
      <c r="C7" s="31" t="s">
        <v>28</v>
      </c>
      <c r="D7" s="32">
        <v>83008042889</v>
      </c>
      <c r="E7" s="33">
        <v>38</v>
      </c>
      <c r="F7" s="33">
        <v>2295</v>
      </c>
      <c r="G7" s="33">
        <v>3</v>
      </c>
      <c r="H7" s="31" t="s">
        <v>18</v>
      </c>
      <c r="I7" s="31" t="s">
        <v>14</v>
      </c>
      <c r="J7" s="34" t="s">
        <v>15</v>
      </c>
    </row>
    <row r="8" spans="1:11">
      <c r="A8" s="30">
        <v>7</v>
      </c>
      <c r="B8" s="31" t="s">
        <v>29</v>
      </c>
      <c r="C8" s="31" t="s">
        <v>30</v>
      </c>
      <c r="D8" s="32">
        <v>322709746890</v>
      </c>
      <c r="E8" s="33">
        <v>969</v>
      </c>
      <c r="F8" s="33">
        <v>10664</v>
      </c>
      <c r="G8" s="33">
        <v>11.73</v>
      </c>
      <c r="H8" s="31" t="s">
        <v>27</v>
      </c>
      <c r="I8" s="31" t="s">
        <v>19</v>
      </c>
      <c r="J8" s="34" t="s">
        <v>15</v>
      </c>
    </row>
    <row r="9" spans="1:11">
      <c r="A9" s="30">
        <v>8</v>
      </c>
      <c r="B9" s="31" t="s">
        <v>29</v>
      </c>
      <c r="C9" s="31" t="s">
        <v>31</v>
      </c>
      <c r="D9" s="32">
        <v>30713269905</v>
      </c>
      <c r="E9" s="33">
        <v>91</v>
      </c>
      <c r="F9" s="33">
        <v>1000</v>
      </c>
      <c r="G9" s="33">
        <v>1.2</v>
      </c>
      <c r="H9" s="31" t="s">
        <v>18</v>
      </c>
      <c r="I9" s="31" t="s">
        <v>19</v>
      </c>
      <c r="J9" s="34" t="s">
        <v>15</v>
      </c>
    </row>
    <row r="10" spans="1:11">
      <c r="A10" s="30">
        <v>9</v>
      </c>
      <c r="B10" s="31" t="s">
        <v>32</v>
      </c>
      <c r="C10" s="31" t="s">
        <v>33</v>
      </c>
      <c r="D10" s="32">
        <v>51087244522</v>
      </c>
      <c r="E10" s="33">
        <v>144</v>
      </c>
      <c r="F10" s="33">
        <v>1581</v>
      </c>
      <c r="G10" s="33">
        <v>1.74</v>
      </c>
      <c r="H10" s="31" t="s">
        <v>22</v>
      </c>
      <c r="I10" s="31" t="s">
        <v>19</v>
      </c>
      <c r="J10" s="34" t="s">
        <v>15</v>
      </c>
    </row>
    <row r="11" spans="1:11">
      <c r="A11" s="30">
        <v>10</v>
      </c>
      <c r="B11" s="31" t="s">
        <v>34</v>
      </c>
      <c r="C11" s="31" t="s">
        <v>35</v>
      </c>
      <c r="D11" s="32">
        <v>31420264769</v>
      </c>
      <c r="E11" s="33">
        <v>91</v>
      </c>
      <c r="F11" s="33">
        <v>1003</v>
      </c>
      <c r="G11" s="33">
        <v>1.21</v>
      </c>
      <c r="H11" s="31" t="s">
        <v>18</v>
      </c>
      <c r="I11" s="31" t="s">
        <v>19</v>
      </c>
      <c r="J11" s="34" t="s">
        <v>15</v>
      </c>
    </row>
    <row r="12" spans="1:11">
      <c r="A12" s="30">
        <v>11</v>
      </c>
      <c r="B12" s="31" t="s">
        <v>36</v>
      </c>
      <c r="C12" s="31" t="s">
        <v>37</v>
      </c>
      <c r="D12" s="32">
        <v>27742028640</v>
      </c>
      <c r="E12" s="33">
        <v>78</v>
      </c>
      <c r="F12" s="33">
        <v>862</v>
      </c>
      <c r="G12" s="33">
        <v>0.95</v>
      </c>
      <c r="H12" s="31" t="s">
        <v>22</v>
      </c>
      <c r="I12" s="31" t="s">
        <v>19</v>
      </c>
      <c r="J12" s="34" t="s">
        <v>15</v>
      </c>
    </row>
    <row r="13" spans="1:11" ht="85.5">
      <c r="A13" s="30">
        <v>12</v>
      </c>
      <c r="B13" s="35" t="s">
        <v>38</v>
      </c>
      <c r="C13" s="36" t="s">
        <v>39</v>
      </c>
      <c r="D13" s="32">
        <v>121589085878</v>
      </c>
      <c r="E13" s="33">
        <v>344</v>
      </c>
      <c r="F13" s="33">
        <v>3783</v>
      </c>
      <c r="G13" s="33">
        <v>4.16</v>
      </c>
      <c r="H13" s="31" t="s">
        <v>22</v>
      </c>
      <c r="I13" s="31" t="s">
        <v>19</v>
      </c>
      <c r="J13" s="34" t="s">
        <v>15</v>
      </c>
    </row>
    <row r="14" spans="1:11">
      <c r="A14" s="30">
        <v>13</v>
      </c>
      <c r="B14" s="31" t="s">
        <v>40</v>
      </c>
      <c r="C14" s="31" t="s">
        <v>41</v>
      </c>
      <c r="D14" s="32">
        <v>6880380834</v>
      </c>
      <c r="E14" s="33">
        <v>20</v>
      </c>
      <c r="F14" s="33">
        <v>217</v>
      </c>
      <c r="G14" s="33">
        <v>0.31</v>
      </c>
      <c r="H14" s="31" t="s">
        <v>18</v>
      </c>
      <c r="I14" s="31" t="s">
        <v>19</v>
      </c>
      <c r="J14" s="34" t="s">
        <v>15</v>
      </c>
    </row>
    <row r="15" spans="1:11">
      <c r="A15" s="30">
        <v>14</v>
      </c>
      <c r="B15" s="31" t="s">
        <v>40</v>
      </c>
      <c r="C15" s="31" t="s">
        <v>42</v>
      </c>
      <c r="D15" s="32">
        <v>22802905997</v>
      </c>
      <c r="E15" s="33">
        <v>65</v>
      </c>
      <c r="F15" s="33">
        <v>719</v>
      </c>
      <c r="G15" s="33">
        <v>0.72</v>
      </c>
      <c r="H15" s="31" t="s">
        <v>18</v>
      </c>
      <c r="I15" s="31" t="s">
        <v>19</v>
      </c>
      <c r="J15" s="34" t="s">
        <v>15</v>
      </c>
    </row>
    <row r="16" spans="1:11">
      <c r="A16" s="30">
        <v>15</v>
      </c>
      <c r="B16" s="31" t="s">
        <v>40</v>
      </c>
      <c r="C16" s="31" t="s">
        <v>43</v>
      </c>
      <c r="D16" s="32">
        <v>9349545113</v>
      </c>
      <c r="E16" s="33">
        <v>27</v>
      </c>
      <c r="F16" s="33">
        <v>293</v>
      </c>
      <c r="G16" s="33">
        <v>0.42</v>
      </c>
      <c r="H16" s="31" t="s">
        <v>18</v>
      </c>
      <c r="I16" s="31" t="s">
        <v>19</v>
      </c>
      <c r="J16" s="34" t="s">
        <v>15</v>
      </c>
    </row>
    <row r="17" spans="1:10">
      <c r="A17" s="30">
        <v>16</v>
      </c>
      <c r="B17" s="31" t="s">
        <v>40</v>
      </c>
      <c r="C17" s="31" t="s">
        <v>44</v>
      </c>
      <c r="D17" s="32">
        <v>24764667070</v>
      </c>
      <c r="E17" s="33">
        <v>71</v>
      </c>
      <c r="F17" s="33">
        <v>777</v>
      </c>
      <c r="G17" s="33">
        <v>1.1000000000000001</v>
      </c>
      <c r="H17" s="31" t="s">
        <v>18</v>
      </c>
      <c r="I17" s="31" t="s">
        <v>19</v>
      </c>
      <c r="J17" s="34" t="s">
        <v>15</v>
      </c>
    </row>
    <row r="18" spans="1:10" ht="42.75">
      <c r="A18" s="30">
        <v>17</v>
      </c>
      <c r="B18" s="31" t="s">
        <v>45</v>
      </c>
      <c r="C18" s="37" t="s">
        <v>46</v>
      </c>
      <c r="D18" s="32">
        <v>37573918087</v>
      </c>
      <c r="E18" s="33">
        <v>105</v>
      </c>
      <c r="F18" s="33">
        <v>1158</v>
      </c>
      <c r="G18" s="33">
        <v>1.27</v>
      </c>
      <c r="H18" s="31" t="s">
        <v>22</v>
      </c>
      <c r="I18" s="31" t="s">
        <v>19</v>
      </c>
      <c r="J18" s="34" t="s">
        <v>15</v>
      </c>
    </row>
    <row r="19" spans="1:10" ht="14.65" thickBot="1">
      <c r="A19" s="30">
        <v>18</v>
      </c>
      <c r="B19" s="38" t="s">
        <v>45</v>
      </c>
      <c r="C19" s="38" t="s">
        <v>47</v>
      </c>
      <c r="D19" s="39">
        <v>4402514558</v>
      </c>
      <c r="E19" s="40">
        <v>14</v>
      </c>
      <c r="F19" s="40">
        <v>154</v>
      </c>
      <c r="G19" s="40">
        <v>0.19</v>
      </c>
      <c r="H19" s="38" t="s">
        <v>22</v>
      </c>
      <c r="I19" s="38" t="s">
        <v>19</v>
      </c>
      <c r="J19" s="41" t="s">
        <v>15</v>
      </c>
    </row>
    <row r="20" spans="1:10" ht="14.65" thickBot="1">
      <c r="A20" s="106" t="s">
        <v>48</v>
      </c>
      <c r="B20" s="107"/>
      <c r="C20" s="107"/>
      <c r="D20" s="42">
        <f>+SUM(D2:D19)</f>
        <v>968268668130</v>
      </c>
      <c r="E20" s="43">
        <f>+SUM(E2:E19)</f>
        <v>2297</v>
      </c>
      <c r="F20" s="43">
        <f>+SUM(F2:F19)</f>
        <v>29911</v>
      </c>
      <c r="G20" s="43">
        <f>+SUM(G2:G19)</f>
        <v>37.06</v>
      </c>
      <c r="H20" s="44"/>
      <c r="I20" s="44"/>
      <c r="J20" s="45"/>
    </row>
  </sheetData>
  <autoFilter ref="A1:K20" xr:uid="{00000000-0009-0000-0000-000000000000}"/>
  <mergeCells count="1">
    <mergeCell ref="A20:C2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964A8-A494-46D3-A537-B2A073A18B4D}">
  <dimension ref="B2:U53"/>
  <sheetViews>
    <sheetView tabSelected="1" zoomScale="85" zoomScaleNormal="85" workbookViewId="0">
      <pane xSplit="2" ySplit="2" topLeftCell="C3" activePane="bottomRight" state="frozen"/>
      <selection pane="bottomRight" activeCell="J2" sqref="J2"/>
      <selection pane="bottomLeft" activeCell="A3" sqref="A3"/>
      <selection pane="topRight" activeCell="C1" sqref="C1"/>
    </sheetView>
  </sheetViews>
  <sheetFormatPr defaultColWidth="11.42578125" defaultRowHeight="14.25"/>
  <cols>
    <col min="1" max="1" width="4.5703125" customWidth="1"/>
    <col min="2" max="2" width="21.28515625" hidden="1" customWidth="1"/>
    <col min="3" max="3" width="18.85546875" customWidth="1"/>
    <col min="4" max="4" width="13" customWidth="1"/>
    <col min="5" max="5" width="23.28515625" customWidth="1"/>
    <col min="6" max="6" width="19.42578125" customWidth="1"/>
    <col min="7" max="7" width="28.85546875" customWidth="1"/>
    <col min="8" max="8" width="24" customWidth="1"/>
    <col min="9" max="9" width="20.85546875" customWidth="1"/>
    <col min="10" max="10" width="14.140625" style="1" customWidth="1"/>
    <col min="12" max="12" width="14.140625" customWidth="1"/>
    <col min="13" max="13" width="12.42578125" customWidth="1"/>
    <col min="14" max="14" width="15.140625" customWidth="1"/>
    <col min="15" max="15" width="14.85546875" customWidth="1"/>
    <col min="16" max="16" width="10.5703125" customWidth="1"/>
  </cols>
  <sheetData>
    <row r="2" spans="2:16" s="4" customFormat="1" ht="25.5" customHeight="1">
      <c r="C2" s="20" t="s">
        <v>49</v>
      </c>
      <c r="D2" s="20" t="s">
        <v>1</v>
      </c>
      <c r="E2" s="20" t="s">
        <v>50</v>
      </c>
      <c r="F2" s="20" t="s">
        <v>2</v>
      </c>
      <c r="G2" s="20" t="s">
        <v>51</v>
      </c>
      <c r="H2" s="20" t="s">
        <v>52</v>
      </c>
      <c r="I2" s="20" t="s">
        <v>53</v>
      </c>
      <c r="J2" s="20" t="s">
        <v>54</v>
      </c>
      <c r="K2" s="20" t="s">
        <v>55</v>
      </c>
      <c r="L2" s="16" t="s">
        <v>56</v>
      </c>
      <c r="M2" s="16" t="s">
        <v>57</v>
      </c>
      <c r="N2" s="15" t="s">
        <v>58</v>
      </c>
      <c r="O2" s="15" t="s">
        <v>59</v>
      </c>
      <c r="P2" s="21" t="s">
        <v>60</v>
      </c>
    </row>
    <row r="3" spans="2:16">
      <c r="B3" s="17">
        <v>18447808737</v>
      </c>
      <c r="C3" t="s">
        <v>61</v>
      </c>
      <c r="D3" t="s">
        <v>62</v>
      </c>
      <c r="E3" t="s">
        <v>63</v>
      </c>
      <c r="F3" t="s">
        <v>63</v>
      </c>
      <c r="G3" t="s">
        <v>64</v>
      </c>
      <c r="H3" s="1" t="s">
        <v>65</v>
      </c>
      <c r="I3" s="18">
        <f>$B$3/623*L3</f>
        <v>5922249995.8266449</v>
      </c>
      <c r="J3" s="14">
        <v>46162</v>
      </c>
      <c r="K3" s="14" t="s">
        <v>66</v>
      </c>
      <c r="L3" s="1">
        <v>200</v>
      </c>
      <c r="M3" s="1">
        <f>'Seguimiento Diario'!E4</f>
        <v>180</v>
      </c>
      <c r="N3" s="19">
        <f>760/623*L3</f>
        <v>243.98073836276083</v>
      </c>
      <c r="O3" s="19">
        <f>N3/L3*M3</f>
        <v>219.58266452648476</v>
      </c>
      <c r="P3" s="2">
        <f t="shared" ref="P3:P31" si="0">M3/L3</f>
        <v>0.9</v>
      </c>
    </row>
    <row r="4" spans="2:16">
      <c r="B4" s="17">
        <v>18447808737</v>
      </c>
      <c r="C4" t="s">
        <v>61</v>
      </c>
      <c r="D4" t="s">
        <v>62</v>
      </c>
      <c r="E4" t="s">
        <v>63</v>
      </c>
      <c r="F4" t="s">
        <v>63</v>
      </c>
      <c r="G4" t="s">
        <v>64</v>
      </c>
      <c r="H4" s="1" t="s">
        <v>65</v>
      </c>
      <c r="I4" s="18">
        <f t="shared" ref="I4:I5" si="1">$B$3/623*L4</f>
        <v>5922249995.8266449</v>
      </c>
      <c r="J4" s="14">
        <v>46184</v>
      </c>
      <c r="K4" s="14" t="s">
        <v>67</v>
      </c>
      <c r="L4" s="1">
        <v>200</v>
      </c>
      <c r="M4" s="1">
        <f>'Seguimiento Diario'!F4</f>
        <v>0</v>
      </c>
      <c r="N4" s="19">
        <f t="shared" ref="N4:N5" si="2">760/623*L4</f>
        <v>243.98073836276083</v>
      </c>
      <c r="O4" s="19">
        <f t="shared" ref="O4:O53" si="3">N4/L4*M4</f>
        <v>0</v>
      </c>
      <c r="P4" s="2">
        <f t="shared" si="0"/>
        <v>0</v>
      </c>
    </row>
    <row r="5" spans="2:16">
      <c r="C5" t="s">
        <v>61</v>
      </c>
      <c r="D5" t="s">
        <v>62</v>
      </c>
      <c r="E5" t="s">
        <v>63</v>
      </c>
      <c r="F5" t="s">
        <v>63</v>
      </c>
      <c r="G5" t="s">
        <v>64</v>
      </c>
      <c r="H5" s="1" t="s">
        <v>65</v>
      </c>
      <c r="I5" s="18">
        <f t="shared" si="1"/>
        <v>6603308745.3467093</v>
      </c>
      <c r="J5" s="14">
        <v>46228</v>
      </c>
      <c r="K5" s="14" t="s">
        <v>68</v>
      </c>
      <c r="L5" s="1">
        <v>223</v>
      </c>
      <c r="M5" s="1">
        <f>'Seguimiento Diario'!G4</f>
        <v>0</v>
      </c>
      <c r="N5" s="19">
        <f t="shared" si="2"/>
        <v>272.03852327447834</v>
      </c>
      <c r="O5" s="19">
        <f t="shared" si="3"/>
        <v>0</v>
      </c>
      <c r="P5" s="2">
        <f t="shared" si="0"/>
        <v>0</v>
      </c>
    </row>
    <row r="6" spans="2:16">
      <c r="B6" s="17">
        <v>18114661005</v>
      </c>
      <c r="C6" t="s">
        <v>61</v>
      </c>
      <c r="D6" t="s">
        <v>62</v>
      </c>
      <c r="E6" t="s">
        <v>69</v>
      </c>
      <c r="F6" t="s">
        <v>69</v>
      </c>
      <c r="G6" t="s">
        <v>64</v>
      </c>
      <c r="H6" s="1" t="s">
        <v>65</v>
      </c>
      <c r="I6" s="18">
        <f>($B$6/624)*L6</f>
        <v>2902990545.6730766</v>
      </c>
      <c r="J6" s="14">
        <v>46162</v>
      </c>
      <c r="K6" s="14" t="s">
        <v>66</v>
      </c>
      <c r="L6" s="1">
        <v>100</v>
      </c>
      <c r="M6" s="1">
        <f>'Seguimiento Diario'!E5</f>
        <v>0</v>
      </c>
      <c r="N6" s="19">
        <f>(760/624)*L6</f>
        <v>121.79487179487178</v>
      </c>
      <c r="O6" s="19">
        <f t="shared" si="3"/>
        <v>0</v>
      </c>
      <c r="P6" s="2">
        <f t="shared" si="0"/>
        <v>0</v>
      </c>
    </row>
    <row r="7" spans="2:16">
      <c r="C7" t="s">
        <v>61</v>
      </c>
      <c r="D7" t="s">
        <v>62</v>
      </c>
      <c r="E7" t="s">
        <v>69</v>
      </c>
      <c r="F7" t="s">
        <v>69</v>
      </c>
      <c r="G7" t="s">
        <v>64</v>
      </c>
      <c r="H7" s="1" t="s">
        <v>65</v>
      </c>
      <c r="I7" s="18">
        <f t="shared" ref="I7:I8" si="4">($B$6/624)*L7</f>
        <v>4354485818.5096149</v>
      </c>
      <c r="J7" s="14">
        <v>46184</v>
      </c>
      <c r="K7" s="14" t="s">
        <v>67</v>
      </c>
      <c r="L7" s="1">
        <v>150</v>
      </c>
      <c r="M7" s="1">
        <f>'Seguimiento Diario'!F5</f>
        <v>0</v>
      </c>
      <c r="N7" s="19">
        <f t="shared" ref="N7:N8" si="5">(760/624)*L7</f>
        <v>182.69230769230768</v>
      </c>
      <c r="O7" s="19">
        <f t="shared" si="3"/>
        <v>0</v>
      </c>
      <c r="P7" s="2">
        <f t="shared" si="0"/>
        <v>0</v>
      </c>
    </row>
    <row r="8" spans="2:16">
      <c r="C8" t="s">
        <v>61</v>
      </c>
      <c r="D8" t="s">
        <v>62</v>
      </c>
      <c r="E8" t="s">
        <v>69</v>
      </c>
      <c r="F8" t="s">
        <v>69</v>
      </c>
      <c r="G8" t="s">
        <v>64</v>
      </c>
      <c r="H8" s="1" t="s">
        <v>65</v>
      </c>
      <c r="I8" s="18">
        <f t="shared" si="4"/>
        <v>10857184640.817307</v>
      </c>
      <c r="J8" s="14">
        <v>46228</v>
      </c>
      <c r="K8" s="14" t="s">
        <v>68</v>
      </c>
      <c r="L8" s="1">
        <f>624-(L6+L7)</f>
        <v>374</v>
      </c>
      <c r="M8" s="1">
        <f>'Seguimiento Diario'!G5</f>
        <v>0</v>
      </c>
      <c r="N8" s="19">
        <f t="shared" si="5"/>
        <v>455.5128205128205</v>
      </c>
      <c r="O8" s="19">
        <f t="shared" si="3"/>
        <v>0</v>
      </c>
      <c r="P8" s="2">
        <f t="shared" si="0"/>
        <v>0</v>
      </c>
    </row>
    <row r="9" spans="2:16">
      <c r="B9" s="17">
        <v>51087244522</v>
      </c>
      <c r="C9" t="s">
        <v>61</v>
      </c>
      <c r="D9" t="s">
        <v>70</v>
      </c>
      <c r="E9" s="4" t="s">
        <v>71</v>
      </c>
      <c r="F9" s="4" t="s">
        <v>71</v>
      </c>
      <c r="G9" t="s">
        <v>64</v>
      </c>
      <c r="H9" s="1" t="s">
        <v>65</v>
      </c>
      <c r="I9" s="18">
        <f>$B$9/1581*L9</f>
        <v>16156623820.999367</v>
      </c>
      <c r="J9" s="14">
        <v>46184</v>
      </c>
      <c r="K9" s="14" t="s">
        <v>67</v>
      </c>
      <c r="L9" s="1">
        <v>500</v>
      </c>
      <c r="M9" s="1">
        <f>'Seguimiento Diario'!F6</f>
        <v>0</v>
      </c>
      <c r="N9" s="19">
        <f>1740/1581*L9</f>
        <v>550.28462998102464</v>
      </c>
      <c r="O9" s="19">
        <f t="shared" si="3"/>
        <v>0</v>
      </c>
      <c r="P9" s="2">
        <f t="shared" si="0"/>
        <v>0</v>
      </c>
    </row>
    <row r="10" spans="2:16">
      <c r="C10" t="s">
        <v>61</v>
      </c>
      <c r="D10" t="s">
        <v>70</v>
      </c>
      <c r="E10" s="4" t="s">
        <v>71</v>
      </c>
      <c r="F10" s="4" t="s">
        <v>71</v>
      </c>
      <c r="G10" t="s">
        <v>64</v>
      </c>
      <c r="H10" s="1" t="s">
        <v>65</v>
      </c>
      <c r="I10" s="18">
        <f>$B$9/1581*L10</f>
        <v>34930620701.000633</v>
      </c>
      <c r="J10" s="14">
        <v>46228</v>
      </c>
      <c r="K10" s="14" t="s">
        <v>68</v>
      </c>
      <c r="L10" s="1">
        <f>1581-L9</f>
        <v>1081</v>
      </c>
      <c r="M10" s="1">
        <f>'Seguimiento Diario'!G6</f>
        <v>0</v>
      </c>
      <c r="N10" s="19">
        <f>1740/1581*L10</f>
        <v>1189.7153700189754</v>
      </c>
      <c r="O10" s="19">
        <f t="shared" si="3"/>
        <v>0</v>
      </c>
      <c r="P10" s="2">
        <f t="shared" si="0"/>
        <v>0</v>
      </c>
    </row>
    <row r="11" spans="2:16" ht="71.25">
      <c r="B11" s="17">
        <v>37573918087</v>
      </c>
      <c r="C11" t="s">
        <v>61</v>
      </c>
      <c r="D11" t="s">
        <v>72</v>
      </c>
      <c r="E11" s="4" t="s">
        <v>72</v>
      </c>
      <c r="F11" s="4" t="s">
        <v>46</v>
      </c>
      <c r="G11" t="s">
        <v>64</v>
      </c>
      <c r="H11" s="1" t="s">
        <v>65</v>
      </c>
      <c r="I11" s="18">
        <f>$B$11/1158*L11</f>
        <v>22713076563.816925</v>
      </c>
      <c r="J11" s="14">
        <v>46184</v>
      </c>
      <c r="K11" s="14" t="s">
        <v>67</v>
      </c>
      <c r="L11" s="1">
        <v>700</v>
      </c>
      <c r="M11" s="1">
        <f>'Seguimiento Diario'!F7</f>
        <v>0</v>
      </c>
      <c r="N11" s="19">
        <f>1270/1158*L11</f>
        <v>767.70293609671853</v>
      </c>
      <c r="O11" s="19">
        <f t="shared" si="3"/>
        <v>0</v>
      </c>
      <c r="P11" s="2">
        <f t="shared" si="0"/>
        <v>0</v>
      </c>
    </row>
    <row r="12" spans="2:16" ht="71.25">
      <c r="C12" t="s">
        <v>61</v>
      </c>
      <c r="D12" t="s">
        <v>72</v>
      </c>
      <c r="E12" s="4" t="s">
        <v>72</v>
      </c>
      <c r="F12" s="4" t="s">
        <v>46</v>
      </c>
      <c r="G12" t="s">
        <v>64</v>
      </c>
      <c r="H12" s="1" t="s">
        <v>65</v>
      </c>
      <c r="I12" s="18">
        <f>$B$11/1158*L12</f>
        <v>14860841523.183073</v>
      </c>
      <c r="J12" s="14">
        <v>46228</v>
      </c>
      <c r="K12" s="14" t="s">
        <v>68</v>
      </c>
      <c r="L12" s="1">
        <f>1158-L11</f>
        <v>458</v>
      </c>
      <c r="M12" s="1">
        <f>'Seguimiento Diario'!G7</f>
        <v>0</v>
      </c>
      <c r="N12" s="19">
        <f>1270/1158*L12</f>
        <v>502.29706390328153</v>
      </c>
      <c r="O12" s="19">
        <f t="shared" si="3"/>
        <v>0</v>
      </c>
      <c r="P12" s="2">
        <f t="shared" si="0"/>
        <v>0</v>
      </c>
    </row>
    <row r="13" spans="2:16">
      <c r="B13" s="17">
        <v>4402514558</v>
      </c>
      <c r="C13" t="s">
        <v>61</v>
      </c>
      <c r="D13" t="s">
        <v>72</v>
      </c>
      <c r="E13" s="4" t="s">
        <v>73</v>
      </c>
      <c r="F13" s="4" t="s">
        <v>73</v>
      </c>
      <c r="G13" t="s">
        <v>64</v>
      </c>
      <c r="H13" s="1" t="s">
        <v>65</v>
      </c>
      <c r="I13" s="18">
        <f>$B$13/154*L13</f>
        <v>2372783820.2207789</v>
      </c>
      <c r="J13" s="14">
        <v>46184</v>
      </c>
      <c r="K13" s="14" t="s">
        <v>67</v>
      </c>
      <c r="L13" s="1">
        <v>83</v>
      </c>
      <c r="M13" s="1">
        <f>'Seguimiento Diario'!F8</f>
        <v>0</v>
      </c>
      <c r="N13" s="19">
        <f>190/154*L13</f>
        <v>102.40259740259741</v>
      </c>
      <c r="O13" s="19">
        <f t="shared" si="3"/>
        <v>0</v>
      </c>
      <c r="P13" s="2">
        <f t="shared" si="0"/>
        <v>0</v>
      </c>
    </row>
    <row r="14" spans="2:16">
      <c r="C14" t="s">
        <v>61</v>
      </c>
      <c r="D14" t="s">
        <v>72</v>
      </c>
      <c r="E14" s="4" t="s">
        <v>73</v>
      </c>
      <c r="F14" s="4" t="s">
        <v>73</v>
      </c>
      <c r="G14" t="s">
        <v>64</v>
      </c>
      <c r="H14" s="1" t="s">
        <v>65</v>
      </c>
      <c r="I14" s="18">
        <f>$B$13/154*L14</f>
        <v>2029730737.7792206</v>
      </c>
      <c r="J14" s="14">
        <v>46228</v>
      </c>
      <c r="K14" s="14" t="s">
        <v>68</v>
      </c>
      <c r="L14" s="1">
        <f>154-L13</f>
        <v>71</v>
      </c>
      <c r="M14" s="1">
        <f>'Seguimiento Diario'!G8</f>
        <v>0</v>
      </c>
      <c r="N14" s="19">
        <f>190/154*L14</f>
        <v>87.597402597402606</v>
      </c>
      <c r="O14" s="19">
        <f t="shared" si="3"/>
        <v>0</v>
      </c>
      <c r="P14" s="2">
        <f t="shared" si="0"/>
        <v>0</v>
      </c>
    </row>
    <row r="15" spans="2:16">
      <c r="B15" s="17">
        <v>27742028640</v>
      </c>
      <c r="C15" t="s">
        <v>61</v>
      </c>
      <c r="D15" t="s">
        <v>74</v>
      </c>
      <c r="E15" s="4" t="s">
        <v>75</v>
      </c>
      <c r="F15" s="4" t="s">
        <v>75</v>
      </c>
      <c r="G15" t="s">
        <v>64</v>
      </c>
      <c r="H15" s="1" t="s">
        <v>65</v>
      </c>
      <c r="I15" s="18">
        <f>$B$15/862*L15</f>
        <v>321833278.88631094</v>
      </c>
      <c r="J15" s="14">
        <v>46184</v>
      </c>
      <c r="K15" s="14" t="s">
        <v>67</v>
      </c>
      <c r="L15" s="1">
        <v>10</v>
      </c>
      <c r="M15" s="1">
        <f>'Seguimiento Diario'!F9</f>
        <v>0</v>
      </c>
      <c r="N15" s="19">
        <f>950/862*L15</f>
        <v>11.020881670533642</v>
      </c>
      <c r="O15" s="19">
        <f t="shared" si="3"/>
        <v>0</v>
      </c>
      <c r="P15" s="2">
        <f t="shared" si="0"/>
        <v>0</v>
      </c>
    </row>
    <row r="16" spans="2:16">
      <c r="C16" t="s">
        <v>61</v>
      </c>
      <c r="D16" t="s">
        <v>74</v>
      </c>
      <c r="E16" s="4" t="s">
        <v>75</v>
      </c>
      <c r="F16" s="4" t="s">
        <v>75</v>
      </c>
      <c r="G16" t="s">
        <v>64</v>
      </c>
      <c r="H16" s="1" t="s">
        <v>65</v>
      </c>
      <c r="I16" s="18">
        <f>$B$15/862*L16</f>
        <v>27420195361.113689</v>
      </c>
      <c r="J16" s="14">
        <v>46228</v>
      </c>
      <c r="K16" s="14" t="s">
        <v>68</v>
      </c>
      <c r="L16" s="1">
        <f>862-L15</f>
        <v>852</v>
      </c>
      <c r="M16" s="1">
        <f>'Seguimiento Diario'!G9</f>
        <v>0</v>
      </c>
      <c r="N16" s="19">
        <f>950/862*L16</f>
        <v>938.97911832946636</v>
      </c>
      <c r="O16" s="19">
        <f t="shared" si="3"/>
        <v>0</v>
      </c>
      <c r="P16" s="2">
        <f t="shared" si="0"/>
        <v>0</v>
      </c>
    </row>
    <row r="17" spans="2:21">
      <c r="C17" t="s">
        <v>61</v>
      </c>
      <c r="D17" t="s">
        <v>76</v>
      </c>
      <c r="E17" t="s">
        <v>76</v>
      </c>
      <c r="F17" t="s">
        <v>39</v>
      </c>
      <c r="G17" t="s">
        <v>64</v>
      </c>
      <c r="H17" s="1" t="s">
        <v>65</v>
      </c>
      <c r="I17" s="17">
        <v>121589085878</v>
      </c>
      <c r="J17" s="14">
        <v>46228</v>
      </c>
      <c r="K17" s="14" t="s">
        <v>68</v>
      </c>
      <c r="L17" s="1">
        <v>3783</v>
      </c>
      <c r="M17" s="1">
        <f>'Seguimiento Diario'!G10</f>
        <v>0</v>
      </c>
      <c r="N17" s="1">
        <f>4160/3783*L17</f>
        <v>4160</v>
      </c>
      <c r="O17" s="19">
        <f t="shared" si="3"/>
        <v>0</v>
      </c>
      <c r="P17" s="2">
        <f t="shared" si="0"/>
        <v>0</v>
      </c>
    </row>
    <row r="18" spans="2:21">
      <c r="B18" s="17">
        <v>322709746890</v>
      </c>
      <c r="C18" t="s">
        <v>77</v>
      </c>
      <c r="D18" t="s">
        <v>78</v>
      </c>
      <c r="E18" s="4" t="s">
        <v>79</v>
      </c>
      <c r="F18" s="4" t="s">
        <v>79</v>
      </c>
      <c r="G18" t="s">
        <v>64</v>
      </c>
      <c r="H18" s="1" t="s">
        <v>65</v>
      </c>
      <c r="I18" s="18">
        <f>$B$18/10664*L18</f>
        <v>12104641668.792198</v>
      </c>
      <c r="J18" s="14">
        <v>46167</v>
      </c>
      <c r="K18" s="14" t="s">
        <v>66</v>
      </c>
      <c r="L18" s="1">
        <v>400</v>
      </c>
      <c r="M18" s="1">
        <f>'Seguimiento Diario'!E11</f>
        <v>0</v>
      </c>
      <c r="N18" s="19">
        <f>11730/10664*L18</f>
        <v>439.98499624906231</v>
      </c>
      <c r="O18" s="19">
        <f t="shared" si="3"/>
        <v>0</v>
      </c>
      <c r="P18" s="2">
        <f t="shared" si="0"/>
        <v>0</v>
      </c>
    </row>
    <row r="19" spans="2:21">
      <c r="C19" t="s">
        <v>77</v>
      </c>
      <c r="D19" t="s">
        <v>78</v>
      </c>
      <c r="E19" s="4" t="s">
        <v>79</v>
      </c>
      <c r="F19" s="4" t="s">
        <v>79</v>
      </c>
      <c r="G19" t="s">
        <v>64</v>
      </c>
      <c r="H19" s="1" t="s">
        <v>65</v>
      </c>
      <c r="I19" s="18">
        <f t="shared" ref="I19:I20" si="6">$B$18/10664*L19</f>
        <v>12104641668.792198</v>
      </c>
      <c r="J19" s="14">
        <v>46188</v>
      </c>
      <c r="K19" s="14" t="s">
        <v>67</v>
      </c>
      <c r="L19" s="1">
        <v>400</v>
      </c>
      <c r="M19" s="1">
        <f>'Seguimiento Diario'!F11</f>
        <v>0</v>
      </c>
      <c r="N19" s="19">
        <f t="shared" ref="N19:N20" si="7">11730/10664*L19</f>
        <v>439.98499624906231</v>
      </c>
      <c r="O19" s="19">
        <f t="shared" si="3"/>
        <v>0</v>
      </c>
      <c r="P19" s="2">
        <f t="shared" si="0"/>
        <v>0</v>
      </c>
    </row>
    <row r="20" spans="2:21">
      <c r="C20" t="s">
        <v>77</v>
      </c>
      <c r="D20" t="s">
        <v>78</v>
      </c>
      <c r="E20" s="4" t="s">
        <v>79</v>
      </c>
      <c r="F20" s="4" t="s">
        <v>79</v>
      </c>
      <c r="G20" t="s">
        <v>64</v>
      </c>
      <c r="H20" s="1" t="s">
        <v>65</v>
      </c>
      <c r="I20" s="18">
        <f t="shared" si="6"/>
        <v>298500463552.41559</v>
      </c>
      <c r="J20" s="14">
        <v>46228</v>
      </c>
      <c r="K20" s="14" t="s">
        <v>68</v>
      </c>
      <c r="L20" s="1">
        <f>10664-(L18+L19)</f>
        <v>9864</v>
      </c>
      <c r="M20" s="1">
        <f>'Seguimiento Diario'!G11</f>
        <v>0</v>
      </c>
      <c r="N20" s="19">
        <f t="shared" si="7"/>
        <v>10850.030007501877</v>
      </c>
      <c r="O20" s="19">
        <f t="shared" si="3"/>
        <v>0</v>
      </c>
      <c r="P20" s="2">
        <f t="shared" si="0"/>
        <v>0</v>
      </c>
    </row>
    <row r="21" spans="2:21">
      <c r="B21" s="17">
        <v>24437339433</v>
      </c>
      <c r="C21" t="s">
        <v>80</v>
      </c>
      <c r="D21" t="s">
        <v>81</v>
      </c>
      <c r="E21" s="22" t="s">
        <v>82</v>
      </c>
      <c r="F21" s="22" t="s">
        <v>82</v>
      </c>
      <c r="G21" t="s">
        <v>64</v>
      </c>
      <c r="H21" s="1" t="s">
        <v>65</v>
      </c>
      <c r="I21" s="18">
        <f>$B$21/755*L21</f>
        <v>6473467399.4701986</v>
      </c>
      <c r="J21" s="14">
        <v>46162</v>
      </c>
      <c r="K21" s="14" t="s">
        <v>66</v>
      </c>
      <c r="L21" s="1">
        <v>200</v>
      </c>
      <c r="M21" s="1">
        <f>'Seguimiento Diario'!E12</f>
        <v>0</v>
      </c>
      <c r="N21" s="19">
        <f>1520/755*L21</f>
        <v>402.64900662251659</v>
      </c>
      <c r="O21" s="19">
        <f t="shared" si="3"/>
        <v>0</v>
      </c>
      <c r="P21" s="2">
        <f t="shared" si="0"/>
        <v>0</v>
      </c>
    </row>
    <row r="22" spans="2:21">
      <c r="C22" t="s">
        <v>80</v>
      </c>
      <c r="D22" t="s">
        <v>81</v>
      </c>
      <c r="E22" s="22" t="s">
        <v>82</v>
      </c>
      <c r="F22" s="22" t="s">
        <v>82</v>
      </c>
      <c r="G22" t="s">
        <v>64</v>
      </c>
      <c r="H22" s="1" t="s">
        <v>65</v>
      </c>
      <c r="I22" s="18">
        <f t="shared" ref="I22:I23" si="8">$B$21/755*L22</f>
        <v>6473467399.4701986</v>
      </c>
      <c r="J22" s="14">
        <v>46193</v>
      </c>
      <c r="K22" s="14" t="s">
        <v>67</v>
      </c>
      <c r="L22" s="1">
        <v>200</v>
      </c>
      <c r="M22" s="1">
        <f>'Seguimiento Diario'!F12</f>
        <v>0</v>
      </c>
      <c r="N22" s="19">
        <f t="shared" ref="N22:N23" si="9">1520/755*L22</f>
        <v>402.64900662251659</v>
      </c>
      <c r="O22" s="19">
        <f t="shared" si="3"/>
        <v>0</v>
      </c>
      <c r="P22" s="2">
        <f t="shared" si="0"/>
        <v>0</v>
      </c>
    </row>
    <row r="23" spans="2:21">
      <c r="C23" t="s">
        <v>80</v>
      </c>
      <c r="D23" t="s">
        <v>81</v>
      </c>
      <c r="E23" s="22" t="s">
        <v>82</v>
      </c>
      <c r="F23" s="22" t="s">
        <v>82</v>
      </c>
      <c r="G23" t="s">
        <v>64</v>
      </c>
      <c r="H23" s="1" t="s">
        <v>65</v>
      </c>
      <c r="I23" s="18">
        <f t="shared" si="8"/>
        <v>11490404634.059603</v>
      </c>
      <c r="J23" s="14">
        <v>46228</v>
      </c>
      <c r="K23" s="14" t="s">
        <v>68</v>
      </c>
      <c r="L23" s="1">
        <f>755-(L21+L22)</f>
        <v>355</v>
      </c>
      <c r="M23" s="1">
        <f>'Seguimiento Diario'!G12</f>
        <v>0</v>
      </c>
      <c r="N23" s="19">
        <f t="shared" si="9"/>
        <v>714.70198675496692</v>
      </c>
      <c r="O23" s="19">
        <f t="shared" si="3"/>
        <v>0</v>
      </c>
      <c r="P23" s="2">
        <f t="shared" si="0"/>
        <v>0</v>
      </c>
    </row>
    <row r="24" spans="2:21">
      <c r="B24" s="17">
        <v>31420264769</v>
      </c>
      <c r="C24" t="s">
        <v>80</v>
      </c>
      <c r="D24" t="s">
        <v>83</v>
      </c>
      <c r="E24" s="22" t="s">
        <v>84</v>
      </c>
      <c r="F24" s="22" t="s">
        <v>84</v>
      </c>
      <c r="G24" t="s">
        <v>64</v>
      </c>
      <c r="H24" s="1" t="s">
        <v>65</v>
      </c>
      <c r="I24" s="18">
        <f>$B$24/1003*L24</f>
        <v>6265257182.2532396</v>
      </c>
      <c r="J24" s="14">
        <v>46172</v>
      </c>
      <c r="K24" s="14" t="s">
        <v>66</v>
      </c>
      <c r="L24" s="1">
        <v>200</v>
      </c>
      <c r="M24" s="1">
        <f>'Seguimiento Diario'!E13</f>
        <v>0</v>
      </c>
      <c r="N24" s="19">
        <f>1210/1003*L24</f>
        <v>241.27617148554336</v>
      </c>
      <c r="O24" s="19">
        <f t="shared" si="3"/>
        <v>0</v>
      </c>
      <c r="P24" s="2">
        <f t="shared" si="0"/>
        <v>0</v>
      </c>
      <c r="U24" s="3"/>
    </row>
    <row r="25" spans="2:21">
      <c r="C25" t="s">
        <v>80</v>
      </c>
      <c r="D25" t="s">
        <v>83</v>
      </c>
      <c r="E25" s="22" t="s">
        <v>84</v>
      </c>
      <c r="F25" s="22" t="s">
        <v>84</v>
      </c>
      <c r="G25" t="s">
        <v>64</v>
      </c>
      <c r="H25" s="1" t="s">
        <v>65</v>
      </c>
      <c r="I25" s="18">
        <f t="shared" ref="I25:I26" si="10">$B$24/1003*L25</f>
        <v>9397885773.3798599</v>
      </c>
      <c r="J25" s="14">
        <v>46193</v>
      </c>
      <c r="K25" s="14" t="s">
        <v>67</v>
      </c>
      <c r="L25" s="1">
        <v>300</v>
      </c>
      <c r="M25" s="1">
        <f>'Seguimiento Diario'!F13</f>
        <v>0</v>
      </c>
      <c r="N25" s="19">
        <f t="shared" ref="N25:N26" si="11">1210/1003*L25</f>
        <v>361.91425722831502</v>
      </c>
      <c r="O25" s="19">
        <f t="shared" si="3"/>
        <v>0</v>
      </c>
      <c r="P25" s="2">
        <f t="shared" si="0"/>
        <v>0</v>
      </c>
      <c r="U25" s="3"/>
    </row>
    <row r="26" spans="2:21">
      <c r="C26" t="s">
        <v>80</v>
      </c>
      <c r="D26" t="s">
        <v>83</v>
      </c>
      <c r="E26" s="22" t="s">
        <v>84</v>
      </c>
      <c r="F26" s="22" t="s">
        <v>84</v>
      </c>
      <c r="G26" t="s">
        <v>64</v>
      </c>
      <c r="H26" s="1" t="s">
        <v>65</v>
      </c>
      <c r="I26" s="18">
        <f t="shared" si="10"/>
        <v>15757121813.366899</v>
      </c>
      <c r="J26" s="14">
        <v>46228</v>
      </c>
      <c r="K26" s="14" t="s">
        <v>68</v>
      </c>
      <c r="L26" s="1">
        <f>1003-(L24+L25)</f>
        <v>503</v>
      </c>
      <c r="M26" s="1">
        <f>'Seguimiento Diario'!G13</f>
        <v>0</v>
      </c>
      <c r="N26" s="19">
        <f t="shared" si="11"/>
        <v>606.80957128614159</v>
      </c>
      <c r="O26" s="19">
        <f t="shared" si="3"/>
        <v>0</v>
      </c>
      <c r="P26" s="2">
        <f t="shared" si="0"/>
        <v>0</v>
      </c>
      <c r="U26" s="3"/>
    </row>
    <row r="27" spans="2:21">
      <c r="B27" s="17">
        <v>30713269905</v>
      </c>
      <c r="C27" t="s">
        <v>80</v>
      </c>
      <c r="D27" t="s">
        <v>78</v>
      </c>
      <c r="E27" s="22" t="s">
        <v>85</v>
      </c>
      <c r="F27" s="22" t="s">
        <v>85</v>
      </c>
      <c r="G27" t="s">
        <v>64</v>
      </c>
      <c r="H27" s="1" t="s">
        <v>65</v>
      </c>
      <c r="I27" s="18">
        <f>$B$27/1000*L27</f>
        <v>3071326990.5</v>
      </c>
      <c r="J27" s="14">
        <v>46172</v>
      </c>
      <c r="K27" s="14" t="s">
        <v>66</v>
      </c>
      <c r="L27" s="1">
        <v>100</v>
      </c>
      <c r="M27" s="1">
        <f>'Seguimiento Diario'!E14</f>
        <v>0</v>
      </c>
      <c r="N27" s="1">
        <f>1200/1000*L27</f>
        <v>120</v>
      </c>
      <c r="O27" s="19">
        <f t="shared" si="3"/>
        <v>0</v>
      </c>
      <c r="P27" s="2">
        <f t="shared" si="0"/>
        <v>0</v>
      </c>
      <c r="U27" s="3"/>
    </row>
    <row r="28" spans="2:21">
      <c r="C28" t="s">
        <v>80</v>
      </c>
      <c r="D28" t="s">
        <v>78</v>
      </c>
      <c r="E28" s="22" t="s">
        <v>85</v>
      </c>
      <c r="F28" s="22" t="s">
        <v>85</v>
      </c>
      <c r="G28" t="s">
        <v>64</v>
      </c>
      <c r="H28" s="1" t="s">
        <v>65</v>
      </c>
      <c r="I28" s="18">
        <f t="shared" ref="I28:I29" si="12">$B$27/1000*L28</f>
        <v>4606990485.75</v>
      </c>
      <c r="J28" s="14">
        <v>46193</v>
      </c>
      <c r="K28" s="14" t="s">
        <v>67</v>
      </c>
      <c r="L28" s="1">
        <v>150</v>
      </c>
      <c r="M28" s="1">
        <f>'Seguimiento Diario'!F14</f>
        <v>0</v>
      </c>
      <c r="N28" s="1">
        <f t="shared" ref="N28:N29" si="13">1200/1000*L28</f>
        <v>180</v>
      </c>
      <c r="O28" s="19">
        <f t="shared" si="3"/>
        <v>0</v>
      </c>
      <c r="P28" s="2">
        <f t="shared" si="0"/>
        <v>0</v>
      </c>
    </row>
    <row r="29" spans="2:21">
      <c r="C29" t="s">
        <v>80</v>
      </c>
      <c r="D29" t="s">
        <v>78</v>
      </c>
      <c r="E29" s="22" t="s">
        <v>85</v>
      </c>
      <c r="F29" s="22" t="s">
        <v>85</v>
      </c>
      <c r="G29" t="s">
        <v>64</v>
      </c>
      <c r="H29" s="1" t="s">
        <v>65</v>
      </c>
      <c r="I29" s="18">
        <f t="shared" si="12"/>
        <v>23034952428.75</v>
      </c>
      <c r="J29" s="14">
        <v>46228</v>
      </c>
      <c r="K29" s="14" t="s">
        <v>68</v>
      </c>
      <c r="L29" s="1">
        <f>1000-(L27+L28)</f>
        <v>750</v>
      </c>
      <c r="M29" s="1">
        <f>'Seguimiento Diario'!G14</f>
        <v>0</v>
      </c>
      <c r="N29" s="1">
        <f t="shared" si="13"/>
        <v>900</v>
      </c>
      <c r="O29" s="19">
        <f t="shared" si="3"/>
        <v>0</v>
      </c>
      <c r="P29" s="2">
        <f t="shared" si="0"/>
        <v>0</v>
      </c>
    </row>
    <row r="30" spans="2:21" ht="42.75">
      <c r="B30" s="18">
        <f>'[1]Base Actualizada'!$E$23+'[1]Base Actualizada'!$E$24+'[1]Base Actualizada'!$E$25+'[1]Base Actualizada'!$E$26</f>
        <v>63797499014</v>
      </c>
      <c r="C30" t="s">
        <v>80</v>
      </c>
      <c r="D30" t="s">
        <v>86</v>
      </c>
      <c r="E30" s="4" t="s">
        <v>87</v>
      </c>
      <c r="F30" s="4" t="s">
        <v>87</v>
      </c>
      <c r="G30" t="s">
        <v>64</v>
      </c>
      <c r="H30" s="1" t="s">
        <v>65</v>
      </c>
      <c r="I30" s="18">
        <f>$B$30/2006*L30</f>
        <v>12721335795.413759</v>
      </c>
      <c r="J30" s="14">
        <v>46167</v>
      </c>
      <c r="K30" s="14" t="s">
        <v>66</v>
      </c>
      <c r="L30" s="1">
        <v>400</v>
      </c>
      <c r="M30" s="1">
        <f>'Seguimiento Diario'!E15</f>
        <v>0</v>
      </c>
      <c r="N30" s="19">
        <f>2550/2006*L30</f>
        <v>508.47457627118644</v>
      </c>
      <c r="O30" s="19">
        <f t="shared" si="3"/>
        <v>0</v>
      </c>
      <c r="P30" s="2">
        <f t="shared" si="0"/>
        <v>0</v>
      </c>
    </row>
    <row r="31" spans="2:21" ht="42.75">
      <c r="B31" s="5"/>
      <c r="C31" t="s">
        <v>80</v>
      </c>
      <c r="D31" t="s">
        <v>86</v>
      </c>
      <c r="E31" s="4" t="s">
        <v>87</v>
      </c>
      <c r="F31" s="4" t="s">
        <v>87</v>
      </c>
      <c r="G31" t="s">
        <v>64</v>
      </c>
      <c r="H31" s="1" t="s">
        <v>65</v>
      </c>
      <c r="I31" s="18">
        <f>$B$30/2006*L31</f>
        <v>51076163218.586243</v>
      </c>
      <c r="J31" s="14">
        <v>46228</v>
      </c>
      <c r="K31" s="14" t="s">
        <v>68</v>
      </c>
      <c r="L31" s="1">
        <f>2006-L30</f>
        <v>1606</v>
      </c>
      <c r="M31" s="1">
        <f>'Seguimiento Diario'!G15</f>
        <v>0</v>
      </c>
      <c r="N31" s="19">
        <f>2550/2006*L31</f>
        <v>2041.5254237288134</v>
      </c>
      <c r="O31" s="19">
        <f t="shared" si="3"/>
        <v>0</v>
      </c>
      <c r="P31" s="2">
        <f t="shared" si="0"/>
        <v>0</v>
      </c>
    </row>
    <row r="32" spans="2:21">
      <c r="C32" t="s">
        <v>88</v>
      </c>
      <c r="D32" t="s">
        <v>89</v>
      </c>
      <c r="E32" t="s">
        <v>90</v>
      </c>
      <c r="F32" t="s">
        <v>89</v>
      </c>
      <c r="G32" t="s">
        <v>91</v>
      </c>
      <c r="H32" s="1" t="s">
        <v>65</v>
      </c>
      <c r="I32" s="17">
        <v>8256253500</v>
      </c>
      <c r="J32" s="14">
        <v>46162</v>
      </c>
      <c r="K32" s="14" t="s">
        <v>66</v>
      </c>
      <c r="L32" s="1">
        <v>500</v>
      </c>
      <c r="M32" s="1">
        <f>'Seguimiento Diario'!E16</f>
        <v>12</v>
      </c>
      <c r="N32" s="1">
        <v>750</v>
      </c>
      <c r="O32" s="19">
        <f t="shared" si="3"/>
        <v>18</v>
      </c>
      <c r="P32" s="2">
        <f t="shared" ref="P32:P53" si="14">M32/L32</f>
        <v>2.4E-2</v>
      </c>
    </row>
    <row r="33" spans="3:16">
      <c r="C33" t="s">
        <v>88</v>
      </c>
      <c r="D33" t="s">
        <v>89</v>
      </c>
      <c r="E33" t="s">
        <v>90</v>
      </c>
      <c r="F33" t="s">
        <v>89</v>
      </c>
      <c r="G33" t="s">
        <v>91</v>
      </c>
      <c r="H33" s="1" t="s">
        <v>65</v>
      </c>
      <c r="I33" s="17">
        <v>11278042281</v>
      </c>
      <c r="J33" s="14">
        <v>46203</v>
      </c>
      <c r="K33" s="14" t="s">
        <v>67</v>
      </c>
      <c r="L33" s="1">
        <v>683</v>
      </c>
      <c r="M33" s="1">
        <f>'Seguimiento Diario'!F16</f>
        <v>0</v>
      </c>
      <c r="N33" s="1">
        <v>1229.3999999999999</v>
      </c>
      <c r="O33" s="19">
        <f t="shared" si="3"/>
        <v>0</v>
      </c>
      <c r="P33" s="2">
        <f t="shared" si="14"/>
        <v>0</v>
      </c>
    </row>
    <row r="34" spans="3:16">
      <c r="C34" t="s">
        <v>88</v>
      </c>
      <c r="D34" t="s">
        <v>89</v>
      </c>
      <c r="E34" t="s">
        <v>90</v>
      </c>
      <c r="F34" t="s">
        <v>89</v>
      </c>
      <c r="G34" t="s">
        <v>91</v>
      </c>
      <c r="H34" s="1" t="s">
        <v>65</v>
      </c>
      <c r="I34" s="17">
        <v>21746971719</v>
      </c>
      <c r="J34" s="14">
        <v>46233</v>
      </c>
      <c r="K34" s="14" t="s">
        <v>68</v>
      </c>
      <c r="L34" s="1">
        <v>1317</v>
      </c>
      <c r="M34" s="1">
        <f>'Seguimiento Diario'!G16</f>
        <v>0</v>
      </c>
      <c r="N34" s="1">
        <v>2370.6</v>
      </c>
      <c r="O34" s="19">
        <f t="shared" si="3"/>
        <v>0</v>
      </c>
      <c r="P34" s="2">
        <f t="shared" si="14"/>
        <v>0</v>
      </c>
    </row>
    <row r="35" spans="3:16">
      <c r="C35" t="s">
        <v>92</v>
      </c>
      <c r="D35" t="s">
        <v>78</v>
      </c>
      <c r="E35" t="s">
        <v>93</v>
      </c>
      <c r="F35" t="s">
        <v>93</v>
      </c>
      <c r="G35" t="s">
        <v>92</v>
      </c>
      <c r="H35" s="1" t="s">
        <v>65</v>
      </c>
      <c r="I35" s="17">
        <v>56292206192</v>
      </c>
      <c r="J35" s="14">
        <v>46149</v>
      </c>
      <c r="K35" s="14" t="s">
        <v>66</v>
      </c>
      <c r="L35" s="1">
        <v>1344</v>
      </c>
      <c r="M35" s="1">
        <f>'Seguimiento Diario'!E17</f>
        <v>0</v>
      </c>
      <c r="N35" s="1">
        <v>1842.5</v>
      </c>
      <c r="O35" s="19">
        <f t="shared" si="3"/>
        <v>0</v>
      </c>
      <c r="P35" s="2">
        <f t="shared" si="14"/>
        <v>0</v>
      </c>
    </row>
    <row r="36" spans="3:16">
      <c r="C36" t="s">
        <v>92</v>
      </c>
      <c r="D36" t="s">
        <v>94</v>
      </c>
      <c r="E36" t="s">
        <v>95</v>
      </c>
      <c r="F36" t="s">
        <v>95</v>
      </c>
      <c r="G36" t="s">
        <v>92</v>
      </c>
      <c r="H36" s="1" t="s">
        <v>65</v>
      </c>
      <c r="I36" s="17">
        <v>11930657218</v>
      </c>
      <c r="J36" s="14">
        <v>46163</v>
      </c>
      <c r="K36" s="14" t="s">
        <v>66</v>
      </c>
      <c r="L36" s="1">
        <v>376</v>
      </c>
      <c r="M36" s="1">
        <f>'Seguimiento Diario'!E18</f>
        <v>0</v>
      </c>
      <c r="N36" s="1">
        <v>503.84</v>
      </c>
      <c r="O36" s="19">
        <f t="shared" si="3"/>
        <v>0</v>
      </c>
      <c r="P36" s="2">
        <f t="shared" si="14"/>
        <v>0</v>
      </c>
    </row>
    <row r="37" spans="3:16">
      <c r="C37" t="s">
        <v>92</v>
      </c>
      <c r="D37" t="s">
        <v>94</v>
      </c>
      <c r="E37" t="s">
        <v>96</v>
      </c>
      <c r="F37" t="s">
        <v>96</v>
      </c>
      <c r="G37" t="s">
        <v>92</v>
      </c>
      <c r="H37" s="1" t="s">
        <v>65</v>
      </c>
      <c r="I37" s="17">
        <v>959419512</v>
      </c>
      <c r="J37" s="14">
        <v>46164</v>
      </c>
      <c r="K37" s="14" t="s">
        <v>66</v>
      </c>
      <c r="L37" s="1">
        <v>80</v>
      </c>
      <c r="M37" s="1">
        <f>'Seguimiento Diario'!E19</f>
        <v>0</v>
      </c>
      <c r="N37" s="1">
        <v>58.08</v>
      </c>
      <c r="O37" s="19">
        <f t="shared" si="3"/>
        <v>0</v>
      </c>
      <c r="P37" s="2">
        <f t="shared" si="14"/>
        <v>0</v>
      </c>
    </row>
    <row r="38" spans="3:16">
      <c r="C38" t="s">
        <v>92</v>
      </c>
      <c r="D38" t="s">
        <v>94</v>
      </c>
      <c r="E38" t="s">
        <v>97</v>
      </c>
      <c r="F38" t="s">
        <v>97</v>
      </c>
      <c r="G38" t="s">
        <v>92</v>
      </c>
      <c r="H38" s="1" t="s">
        <v>65</v>
      </c>
      <c r="I38" s="17">
        <v>7817475406</v>
      </c>
      <c r="J38" s="14">
        <v>46169</v>
      </c>
      <c r="K38" s="14" t="s">
        <v>66</v>
      </c>
      <c r="L38" s="1">
        <v>247</v>
      </c>
      <c r="M38" s="1">
        <f>'Seguimiento Diario'!E20</f>
        <v>0</v>
      </c>
      <c r="N38" s="1">
        <v>330.98</v>
      </c>
      <c r="O38" s="19">
        <f t="shared" si="3"/>
        <v>0</v>
      </c>
      <c r="P38" s="2">
        <f t="shared" si="14"/>
        <v>0</v>
      </c>
    </row>
    <row r="39" spans="3:16">
      <c r="C39" t="s">
        <v>92</v>
      </c>
      <c r="D39" t="s">
        <v>78</v>
      </c>
      <c r="E39" t="s">
        <v>98</v>
      </c>
      <c r="F39" t="s">
        <v>98</v>
      </c>
      <c r="G39" t="s">
        <v>92</v>
      </c>
      <c r="H39" s="1" t="s">
        <v>65</v>
      </c>
      <c r="I39" s="17">
        <v>10294382128</v>
      </c>
      <c r="J39" s="14">
        <v>46149</v>
      </c>
      <c r="K39" s="14" t="s">
        <v>66</v>
      </c>
      <c r="L39" s="1">
        <v>395</v>
      </c>
      <c r="M39" s="1">
        <f>'Seguimiento Diario'!E21</f>
        <v>0</v>
      </c>
      <c r="N39" s="1">
        <v>323.89999999999998</v>
      </c>
      <c r="O39" s="19">
        <f t="shared" si="3"/>
        <v>0</v>
      </c>
      <c r="P39" s="2">
        <f t="shared" si="14"/>
        <v>0</v>
      </c>
    </row>
    <row r="40" spans="3:16">
      <c r="C40" t="s">
        <v>92</v>
      </c>
      <c r="D40" t="s">
        <v>99</v>
      </c>
      <c r="E40" t="s">
        <v>100</v>
      </c>
      <c r="F40" t="s">
        <v>100</v>
      </c>
      <c r="G40" t="s">
        <v>92</v>
      </c>
      <c r="H40" s="1" t="s">
        <v>65</v>
      </c>
      <c r="I40" s="17">
        <v>7215361382</v>
      </c>
      <c r="J40" s="14">
        <v>46190</v>
      </c>
      <c r="K40" s="14" t="s">
        <v>67</v>
      </c>
      <c r="L40" s="1">
        <v>228</v>
      </c>
      <c r="M40" s="1">
        <f>'Seguimiento Diario'!F22</f>
        <v>0</v>
      </c>
      <c r="N40" s="1">
        <v>250.8</v>
      </c>
      <c r="O40" s="19">
        <f t="shared" si="3"/>
        <v>0</v>
      </c>
      <c r="P40" s="2">
        <f t="shared" si="14"/>
        <v>0</v>
      </c>
    </row>
    <row r="41" spans="3:16">
      <c r="C41" t="s">
        <v>101</v>
      </c>
      <c r="D41" t="s">
        <v>102</v>
      </c>
      <c r="E41" t="s">
        <v>103</v>
      </c>
      <c r="F41" t="s">
        <v>103</v>
      </c>
      <c r="G41" t="s">
        <v>104</v>
      </c>
      <c r="H41" s="1" t="s">
        <v>105</v>
      </c>
      <c r="I41" s="17">
        <v>7623200000</v>
      </c>
      <c r="J41" s="14">
        <v>46203</v>
      </c>
      <c r="K41" s="14" t="s">
        <v>67</v>
      </c>
      <c r="L41" s="1">
        <v>500</v>
      </c>
      <c r="M41" s="1">
        <f>'Seguimiento Diario'!F23</f>
        <v>0</v>
      </c>
      <c r="N41" s="1">
        <v>1000</v>
      </c>
      <c r="O41" s="19">
        <f t="shared" si="3"/>
        <v>0</v>
      </c>
      <c r="P41" s="2">
        <f t="shared" si="14"/>
        <v>0</v>
      </c>
    </row>
    <row r="42" spans="3:16">
      <c r="C42" t="s">
        <v>101</v>
      </c>
      <c r="D42" t="s">
        <v>106</v>
      </c>
      <c r="E42" t="s">
        <v>107</v>
      </c>
      <c r="F42" t="s">
        <v>107</v>
      </c>
      <c r="G42" t="s">
        <v>104</v>
      </c>
      <c r="H42" s="1" t="s">
        <v>105</v>
      </c>
      <c r="I42" s="17">
        <v>1903500000</v>
      </c>
      <c r="J42" s="14">
        <v>46203</v>
      </c>
      <c r="K42" s="14" t="s">
        <v>67</v>
      </c>
      <c r="L42" s="1">
        <v>150</v>
      </c>
      <c r="M42" s="1">
        <f>'Seguimiento Diario'!F24</f>
        <v>0</v>
      </c>
      <c r="N42" s="1">
        <v>265</v>
      </c>
      <c r="O42" s="19">
        <f t="shared" si="3"/>
        <v>0</v>
      </c>
      <c r="P42" s="2">
        <f t="shared" si="14"/>
        <v>0</v>
      </c>
    </row>
    <row r="43" spans="3:16">
      <c r="C43" t="s">
        <v>101</v>
      </c>
      <c r="D43" t="s">
        <v>106</v>
      </c>
      <c r="E43" t="s">
        <v>108</v>
      </c>
      <c r="F43" t="s">
        <v>108</v>
      </c>
      <c r="G43" t="s">
        <v>104</v>
      </c>
      <c r="H43" s="1" t="s">
        <v>105</v>
      </c>
      <c r="I43" s="17">
        <v>283500000</v>
      </c>
      <c r="J43" s="14">
        <v>46172</v>
      </c>
      <c r="K43" s="14" t="s">
        <v>66</v>
      </c>
      <c r="L43" s="1">
        <v>60</v>
      </c>
      <c r="M43" s="1">
        <f>'Seguimiento Diario'!E25</f>
        <v>0</v>
      </c>
      <c r="N43" s="1">
        <v>30</v>
      </c>
      <c r="O43" s="19">
        <f t="shared" si="3"/>
        <v>0</v>
      </c>
      <c r="P43" s="2">
        <f t="shared" si="14"/>
        <v>0</v>
      </c>
    </row>
    <row r="44" spans="3:16">
      <c r="C44" t="s">
        <v>101</v>
      </c>
      <c r="D44" t="s">
        <v>106</v>
      </c>
      <c r="E44" t="s">
        <v>109</v>
      </c>
      <c r="F44" t="s">
        <v>109</v>
      </c>
      <c r="G44" t="s">
        <v>104</v>
      </c>
      <c r="H44" s="1" t="s">
        <v>105</v>
      </c>
      <c r="I44" s="17">
        <v>8245082995.6800003</v>
      </c>
      <c r="J44" s="14">
        <v>46157</v>
      </c>
      <c r="K44" s="14" t="s">
        <v>66</v>
      </c>
      <c r="L44" s="1">
        <v>500</v>
      </c>
      <c r="M44" s="1">
        <f>'Seguimiento Diario'!E26</f>
        <v>0</v>
      </c>
      <c r="N44" s="1">
        <v>2000</v>
      </c>
      <c r="O44" s="19">
        <f t="shared" si="3"/>
        <v>0</v>
      </c>
      <c r="P44" s="2">
        <f t="shared" si="14"/>
        <v>0</v>
      </c>
    </row>
    <row r="45" spans="3:16">
      <c r="C45" t="s">
        <v>101</v>
      </c>
      <c r="D45" t="s">
        <v>106</v>
      </c>
      <c r="E45" t="s">
        <v>110</v>
      </c>
      <c r="F45" t="s">
        <v>110</v>
      </c>
      <c r="G45" t="s">
        <v>104</v>
      </c>
      <c r="H45" s="1" t="s">
        <v>105</v>
      </c>
      <c r="I45" s="17">
        <v>8245082995.6800003</v>
      </c>
      <c r="J45" s="14">
        <v>46203</v>
      </c>
      <c r="K45" s="14" t="s">
        <v>67</v>
      </c>
      <c r="L45" s="1">
        <v>500</v>
      </c>
      <c r="M45" s="1">
        <f>'Seguimiento Diario'!F27</f>
        <v>0</v>
      </c>
      <c r="N45" s="1">
        <v>1000</v>
      </c>
      <c r="O45" s="19">
        <f t="shared" si="3"/>
        <v>0</v>
      </c>
      <c r="P45" s="2">
        <f t="shared" si="14"/>
        <v>0</v>
      </c>
    </row>
    <row r="46" spans="3:16">
      <c r="C46" t="s">
        <v>101</v>
      </c>
      <c r="D46" t="s">
        <v>111</v>
      </c>
      <c r="E46" t="s">
        <v>112</v>
      </c>
      <c r="F46" t="s">
        <v>112</v>
      </c>
      <c r="G46" t="s">
        <v>104</v>
      </c>
      <c r="H46" s="1" t="s">
        <v>105</v>
      </c>
      <c r="I46" s="17">
        <v>6900000000</v>
      </c>
      <c r="J46" s="14">
        <v>46172</v>
      </c>
      <c r="K46" s="14" t="s">
        <v>66</v>
      </c>
      <c r="L46" s="1">
        <v>500</v>
      </c>
      <c r="M46" s="1">
        <f>'Seguimiento Diario'!E28</f>
        <v>0</v>
      </c>
      <c r="N46" s="1">
        <v>2000</v>
      </c>
      <c r="O46" s="19">
        <f t="shared" si="3"/>
        <v>0</v>
      </c>
      <c r="P46" s="2">
        <f t="shared" si="14"/>
        <v>0</v>
      </c>
    </row>
    <row r="47" spans="3:16">
      <c r="C47" t="s">
        <v>101</v>
      </c>
      <c r="D47" t="s">
        <v>111</v>
      </c>
      <c r="E47" t="s">
        <v>113</v>
      </c>
      <c r="F47" t="s">
        <v>113</v>
      </c>
      <c r="G47" t="s">
        <v>104</v>
      </c>
      <c r="H47" s="1" t="s">
        <v>105</v>
      </c>
      <c r="I47" s="17">
        <v>6900000000</v>
      </c>
      <c r="J47" s="14">
        <v>46249</v>
      </c>
      <c r="K47" s="14" t="s">
        <v>114</v>
      </c>
      <c r="L47" s="1">
        <v>210</v>
      </c>
      <c r="M47" s="1">
        <f>'Seguimiento Diario'!H29</f>
        <v>0</v>
      </c>
      <c r="N47" s="1">
        <v>500</v>
      </c>
      <c r="O47" s="19">
        <f t="shared" si="3"/>
        <v>0</v>
      </c>
      <c r="P47" s="2">
        <f t="shared" si="14"/>
        <v>0</v>
      </c>
    </row>
    <row r="48" spans="3:16">
      <c r="C48" t="s">
        <v>101</v>
      </c>
      <c r="D48" t="s">
        <v>115</v>
      </c>
      <c r="E48" t="s">
        <v>116</v>
      </c>
      <c r="F48" t="s">
        <v>116</v>
      </c>
      <c r="G48" t="s">
        <v>104</v>
      </c>
      <c r="H48" s="1" t="s">
        <v>105</v>
      </c>
      <c r="I48" s="17">
        <v>5830684998.54</v>
      </c>
      <c r="J48" s="14">
        <v>46203</v>
      </c>
      <c r="K48" s="14" t="s">
        <v>67</v>
      </c>
      <c r="L48" s="1">
        <v>500</v>
      </c>
      <c r="M48" s="1">
        <f>'Seguimiento Diario'!F30</f>
        <v>0</v>
      </c>
      <c r="N48" s="1">
        <v>1000</v>
      </c>
      <c r="O48" s="19">
        <f t="shared" si="3"/>
        <v>0</v>
      </c>
      <c r="P48" s="2">
        <f t="shared" si="14"/>
        <v>0</v>
      </c>
    </row>
    <row r="49" spans="3:16">
      <c r="C49" t="s">
        <v>101</v>
      </c>
      <c r="D49" t="s">
        <v>117</v>
      </c>
      <c r="E49" t="s">
        <v>118</v>
      </c>
      <c r="F49" t="s">
        <v>118</v>
      </c>
      <c r="G49" t="s">
        <v>104</v>
      </c>
      <c r="H49" s="1" t="s">
        <v>105</v>
      </c>
      <c r="I49" s="17">
        <v>6540000000</v>
      </c>
      <c r="J49" s="14">
        <v>46172</v>
      </c>
      <c r="K49" s="14" t="s">
        <v>66</v>
      </c>
      <c r="L49" s="1">
        <v>500</v>
      </c>
      <c r="M49" s="1">
        <f>'Seguimiento Diario'!E31</f>
        <v>0</v>
      </c>
      <c r="N49" s="1">
        <v>1000</v>
      </c>
      <c r="O49" s="19">
        <f t="shared" si="3"/>
        <v>0</v>
      </c>
      <c r="P49" s="2">
        <f t="shared" si="14"/>
        <v>0</v>
      </c>
    </row>
    <row r="50" spans="3:16">
      <c r="C50" t="s">
        <v>101</v>
      </c>
      <c r="D50" t="s">
        <v>117</v>
      </c>
      <c r="E50" t="s">
        <v>119</v>
      </c>
      <c r="F50" t="s">
        <v>119</v>
      </c>
      <c r="G50" t="s">
        <v>104</v>
      </c>
      <c r="H50" s="1" t="s">
        <v>105</v>
      </c>
      <c r="I50" s="17">
        <v>6540000000</v>
      </c>
      <c r="J50" s="14">
        <v>46203</v>
      </c>
      <c r="K50" s="14" t="s">
        <v>67</v>
      </c>
      <c r="L50" s="1">
        <v>500</v>
      </c>
      <c r="M50" s="1">
        <f>'Seguimiento Diario'!F32</f>
        <v>0</v>
      </c>
      <c r="N50" s="1">
        <v>1000</v>
      </c>
      <c r="O50" s="19">
        <f t="shared" si="3"/>
        <v>0</v>
      </c>
      <c r="P50" s="2">
        <f t="shared" si="14"/>
        <v>0</v>
      </c>
    </row>
    <row r="51" spans="3:16">
      <c r="C51" t="s">
        <v>101</v>
      </c>
      <c r="D51" t="s">
        <v>117</v>
      </c>
      <c r="E51" t="s">
        <v>120</v>
      </c>
      <c r="F51" t="s">
        <v>120</v>
      </c>
      <c r="G51" t="s">
        <v>104</v>
      </c>
      <c r="H51" s="1" t="s">
        <v>105</v>
      </c>
      <c r="I51" s="17">
        <v>6540000000</v>
      </c>
      <c r="J51" s="14">
        <v>46218</v>
      </c>
      <c r="K51" s="14" t="s">
        <v>68</v>
      </c>
      <c r="L51" s="1">
        <v>500</v>
      </c>
      <c r="M51" s="1">
        <f>'Seguimiento Diario'!G33</f>
        <v>0</v>
      </c>
      <c r="N51" s="1">
        <v>1000</v>
      </c>
      <c r="O51" s="19">
        <f t="shared" si="3"/>
        <v>0</v>
      </c>
      <c r="P51" s="2">
        <f t="shared" si="14"/>
        <v>0</v>
      </c>
    </row>
    <row r="52" spans="3:16">
      <c r="C52" t="s">
        <v>101</v>
      </c>
      <c r="D52" t="s">
        <v>121</v>
      </c>
      <c r="E52" t="s">
        <v>122</v>
      </c>
      <c r="F52" t="s">
        <v>122</v>
      </c>
      <c r="G52" t="s">
        <v>104</v>
      </c>
      <c r="H52" s="1" t="s">
        <v>105</v>
      </c>
      <c r="I52" s="17">
        <v>684600000</v>
      </c>
      <c r="J52" s="14">
        <v>46203</v>
      </c>
      <c r="K52" s="14" t="s">
        <v>67</v>
      </c>
      <c r="L52" s="1">
        <v>100</v>
      </c>
      <c r="M52" s="1">
        <f>'Seguimiento Diario'!F34</f>
        <v>0</v>
      </c>
      <c r="N52" s="1">
        <v>105</v>
      </c>
      <c r="O52" s="19">
        <f t="shared" si="3"/>
        <v>0</v>
      </c>
      <c r="P52" s="2">
        <f t="shared" si="14"/>
        <v>0</v>
      </c>
    </row>
    <row r="53" spans="3:16">
      <c r="C53" t="s">
        <v>101</v>
      </c>
      <c r="D53" t="s">
        <v>121</v>
      </c>
      <c r="E53" t="s">
        <v>123</v>
      </c>
      <c r="F53" t="s">
        <v>123</v>
      </c>
      <c r="G53" t="s">
        <v>104</v>
      </c>
      <c r="H53" s="1" t="s">
        <v>105</v>
      </c>
      <c r="I53" s="17">
        <v>1128000000</v>
      </c>
      <c r="J53" s="14">
        <v>46203</v>
      </c>
      <c r="K53" s="14" t="s">
        <v>67</v>
      </c>
      <c r="L53" s="1">
        <v>210</v>
      </c>
      <c r="M53" s="1">
        <f>'Seguimiento Diario'!F35</f>
        <v>0</v>
      </c>
      <c r="N53" s="1">
        <v>240</v>
      </c>
      <c r="O53" s="19">
        <f t="shared" si="3"/>
        <v>0</v>
      </c>
      <c r="P53" s="2">
        <f t="shared" si="14"/>
        <v>0</v>
      </c>
    </row>
  </sheetData>
  <autoFilter ref="C2:P53" xr:uid="{FF0964A8-A494-46D3-A537-B2A073A18B4D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BFF8-E932-47B5-A33E-DF0895A6CD0C}">
  <sheetPr>
    <pageSetUpPr fitToPage="1"/>
  </sheetPr>
  <dimension ref="A1:I48"/>
  <sheetViews>
    <sheetView zoomScale="85" zoomScaleNormal="85" workbookViewId="0">
      <selection activeCell="H26" sqref="H26"/>
    </sheetView>
  </sheetViews>
  <sheetFormatPr defaultColWidth="11.42578125" defaultRowHeight="14.25"/>
  <cols>
    <col min="1" max="1" width="19.28515625" customWidth="1"/>
    <col min="2" max="2" width="25.42578125" customWidth="1"/>
    <col min="3" max="3" width="9" bestFit="1" customWidth="1"/>
    <col min="4" max="4" width="16.85546875" bestFit="1" customWidth="1"/>
    <col min="5" max="5" width="10.42578125" bestFit="1" customWidth="1"/>
    <col min="6" max="7" width="15.42578125" bestFit="1" customWidth="1"/>
    <col min="8" max="8" width="10.28515625" bestFit="1" customWidth="1"/>
    <col min="9" max="9" width="20" bestFit="1" customWidth="1"/>
  </cols>
  <sheetData>
    <row r="1" spans="1:9">
      <c r="A1" s="6" t="s">
        <v>55</v>
      </c>
      <c r="B1" t="s">
        <v>124</v>
      </c>
    </row>
    <row r="2" spans="1:9">
      <c r="A2" s="6" t="s">
        <v>51</v>
      </c>
      <c r="B2" t="s">
        <v>125</v>
      </c>
    </row>
    <row r="4" spans="1:9" s="4" customFormat="1">
      <c r="A4"/>
      <c r="B4"/>
      <c r="C4"/>
      <c r="D4" s="6" t="s">
        <v>126</v>
      </c>
      <c r="E4"/>
      <c r="F4"/>
      <c r="G4"/>
      <c r="H4"/>
      <c r="I4"/>
    </row>
    <row r="5" spans="1:9" ht="42.75">
      <c r="A5" s="25" t="s">
        <v>127</v>
      </c>
      <c r="B5" s="25" t="s">
        <v>50</v>
      </c>
      <c r="C5" s="25" t="s">
        <v>54</v>
      </c>
      <c r="D5" s="4" t="s">
        <v>128</v>
      </c>
      <c r="E5" s="4" t="s">
        <v>129</v>
      </c>
      <c r="F5" s="4" t="s">
        <v>130</v>
      </c>
      <c r="G5" s="4" t="s">
        <v>131</v>
      </c>
      <c r="H5" s="4" t="s">
        <v>132</v>
      </c>
      <c r="I5" t="s">
        <v>133</v>
      </c>
    </row>
    <row r="6" spans="1:9">
      <c r="A6" t="s">
        <v>77</v>
      </c>
      <c r="B6" t="s">
        <v>79</v>
      </c>
      <c r="C6" s="3">
        <v>46167</v>
      </c>
      <c r="D6" s="13">
        <v>400</v>
      </c>
      <c r="E6">
        <v>0</v>
      </c>
      <c r="F6" s="13">
        <v>439.98499624906231</v>
      </c>
      <c r="G6" s="24">
        <v>0</v>
      </c>
      <c r="H6" s="12">
        <v>0</v>
      </c>
      <c r="I6" s="18">
        <v>12104641668.792198</v>
      </c>
    </row>
    <row r="7" spans="1:9">
      <c r="C7" s="3">
        <v>46188</v>
      </c>
      <c r="D7" s="13">
        <v>400</v>
      </c>
      <c r="E7">
        <v>0</v>
      </c>
      <c r="F7" s="13">
        <v>439.98499624906231</v>
      </c>
      <c r="G7" s="24">
        <v>0</v>
      </c>
      <c r="H7" s="12">
        <v>0</v>
      </c>
      <c r="I7" s="18">
        <v>12104641668.792198</v>
      </c>
    </row>
    <row r="8" spans="1:9">
      <c r="A8" t="s">
        <v>134</v>
      </c>
      <c r="D8" s="13">
        <v>800</v>
      </c>
      <c r="E8">
        <v>0</v>
      </c>
      <c r="F8" s="13">
        <v>879.96999249812461</v>
      </c>
      <c r="G8" s="24">
        <v>0</v>
      </c>
      <c r="H8" s="12">
        <v>0</v>
      </c>
      <c r="I8" s="18">
        <v>24209283337.584396</v>
      </c>
    </row>
    <row r="9" spans="1:9">
      <c r="A9" t="s">
        <v>61</v>
      </c>
      <c r="B9" t="s">
        <v>63</v>
      </c>
      <c r="C9" s="3">
        <v>46162</v>
      </c>
      <c r="D9" s="13">
        <v>200</v>
      </c>
      <c r="E9">
        <v>180</v>
      </c>
      <c r="F9" s="13">
        <v>243.98073836276083</v>
      </c>
      <c r="G9" s="24">
        <v>219.58266452648476</v>
      </c>
      <c r="H9" s="12">
        <v>0.9</v>
      </c>
      <c r="I9" s="18">
        <v>5922249995.8266449</v>
      </c>
    </row>
    <row r="10" spans="1:9">
      <c r="C10" s="3">
        <v>46184</v>
      </c>
      <c r="D10" s="13">
        <v>200</v>
      </c>
      <c r="E10">
        <v>0</v>
      </c>
      <c r="F10" s="13">
        <v>243.98073836276083</v>
      </c>
      <c r="G10" s="24">
        <v>0</v>
      </c>
      <c r="H10" s="12">
        <v>0</v>
      </c>
      <c r="I10" s="18">
        <v>5922249995.8266449</v>
      </c>
    </row>
    <row r="11" spans="1:9">
      <c r="B11" t="s">
        <v>69</v>
      </c>
      <c r="C11" s="3">
        <v>46162</v>
      </c>
      <c r="D11" s="13">
        <v>100</v>
      </c>
      <c r="E11">
        <v>0</v>
      </c>
      <c r="F11" s="13">
        <v>121.79487179487178</v>
      </c>
      <c r="G11" s="24">
        <v>0</v>
      </c>
      <c r="H11" s="12">
        <v>0</v>
      </c>
      <c r="I11" s="18">
        <v>2902990545.6730766</v>
      </c>
    </row>
    <row r="12" spans="1:9">
      <c r="C12" s="3">
        <v>46184</v>
      </c>
      <c r="D12" s="13">
        <v>150</v>
      </c>
      <c r="E12">
        <v>0</v>
      </c>
      <c r="F12" s="13">
        <v>182.69230769230768</v>
      </c>
      <c r="G12" s="24">
        <v>0</v>
      </c>
      <c r="H12" s="12">
        <v>0</v>
      </c>
      <c r="I12" s="18">
        <v>4354485818.5096149</v>
      </c>
    </row>
    <row r="13" spans="1:9">
      <c r="B13" t="s">
        <v>71</v>
      </c>
      <c r="C13" s="3">
        <v>46184</v>
      </c>
      <c r="D13" s="13">
        <v>500</v>
      </c>
      <c r="E13">
        <v>0</v>
      </c>
      <c r="F13" s="13">
        <v>550.28462998102464</v>
      </c>
      <c r="G13" s="24">
        <v>0</v>
      </c>
      <c r="H13" s="12">
        <v>0</v>
      </c>
      <c r="I13" s="18">
        <v>16156623820.999367</v>
      </c>
    </row>
    <row r="14" spans="1:9">
      <c r="B14" t="s">
        <v>72</v>
      </c>
      <c r="C14" s="3">
        <v>46184</v>
      </c>
      <c r="D14" s="13">
        <v>700</v>
      </c>
      <c r="E14">
        <v>0</v>
      </c>
      <c r="F14" s="13">
        <v>767.70293609671853</v>
      </c>
      <c r="G14" s="24">
        <v>0</v>
      </c>
      <c r="H14" s="12">
        <v>0</v>
      </c>
      <c r="I14" s="18">
        <v>22713076563.816925</v>
      </c>
    </row>
    <row r="15" spans="1:9">
      <c r="B15" t="s">
        <v>73</v>
      </c>
      <c r="C15" s="3">
        <v>46184</v>
      </c>
      <c r="D15" s="13">
        <v>83</v>
      </c>
      <c r="E15">
        <v>0</v>
      </c>
      <c r="F15" s="13">
        <v>102.40259740259741</v>
      </c>
      <c r="G15" s="24">
        <v>0</v>
      </c>
      <c r="H15" s="12">
        <v>0</v>
      </c>
      <c r="I15" s="18">
        <v>2372783820.2207789</v>
      </c>
    </row>
    <row r="16" spans="1:9">
      <c r="B16" t="s">
        <v>75</v>
      </c>
      <c r="C16" s="3">
        <v>46184</v>
      </c>
      <c r="D16" s="13">
        <v>10</v>
      </c>
      <c r="E16">
        <v>0</v>
      </c>
      <c r="F16" s="13">
        <v>11.020881670533642</v>
      </c>
      <c r="G16" s="24">
        <v>0</v>
      </c>
      <c r="H16" s="12">
        <v>0</v>
      </c>
      <c r="I16" s="18">
        <v>321833278.88631094</v>
      </c>
    </row>
    <row r="17" spans="1:9">
      <c r="A17" t="s">
        <v>135</v>
      </c>
      <c r="D17" s="13">
        <v>1943</v>
      </c>
      <c r="E17">
        <v>180</v>
      </c>
      <c r="F17" s="13">
        <v>2223.8597013635754</v>
      </c>
      <c r="G17" s="24">
        <v>219.58266452648476</v>
      </c>
      <c r="H17" s="12">
        <v>0.9</v>
      </c>
      <c r="I17" s="18">
        <v>60666293839.759369</v>
      </c>
    </row>
    <row r="18" spans="1:9">
      <c r="A18" t="s">
        <v>80</v>
      </c>
      <c r="B18" t="s">
        <v>82</v>
      </c>
      <c r="C18" s="3">
        <v>46162</v>
      </c>
      <c r="D18" s="13">
        <v>200</v>
      </c>
      <c r="E18">
        <v>0</v>
      </c>
      <c r="F18" s="13">
        <v>402.64900662251659</v>
      </c>
      <c r="G18" s="24">
        <v>0</v>
      </c>
      <c r="H18" s="12">
        <v>0</v>
      </c>
      <c r="I18" s="18">
        <v>6473467399.4701986</v>
      </c>
    </row>
    <row r="19" spans="1:9">
      <c r="C19" s="3">
        <v>46193</v>
      </c>
      <c r="D19" s="13">
        <v>200</v>
      </c>
      <c r="E19">
        <v>0</v>
      </c>
      <c r="F19" s="13">
        <v>402.64900662251659</v>
      </c>
      <c r="G19" s="24">
        <v>0</v>
      </c>
      <c r="H19" s="12">
        <v>0</v>
      </c>
      <c r="I19" s="18">
        <v>6473467399.4701986</v>
      </c>
    </row>
    <row r="20" spans="1:9">
      <c r="B20" t="s">
        <v>84</v>
      </c>
      <c r="C20" s="3">
        <v>46172</v>
      </c>
      <c r="D20" s="13">
        <v>200</v>
      </c>
      <c r="E20">
        <v>0</v>
      </c>
      <c r="F20" s="13">
        <v>241.27617148554336</v>
      </c>
      <c r="G20" s="24">
        <v>0</v>
      </c>
      <c r="H20" s="12">
        <v>0</v>
      </c>
      <c r="I20" s="18">
        <v>6265257182.2532396</v>
      </c>
    </row>
    <row r="21" spans="1:9">
      <c r="C21" s="3">
        <v>46193</v>
      </c>
      <c r="D21" s="13">
        <v>300</v>
      </c>
      <c r="E21">
        <v>0</v>
      </c>
      <c r="F21" s="13">
        <v>361.91425722831502</v>
      </c>
      <c r="G21" s="24">
        <v>0</v>
      </c>
      <c r="H21" s="12">
        <v>0</v>
      </c>
      <c r="I21" s="18">
        <v>9397885773.3798599</v>
      </c>
    </row>
    <row r="22" spans="1:9" ht="42.75">
      <c r="B22" s="4" t="s">
        <v>87</v>
      </c>
      <c r="C22" s="3">
        <v>46167</v>
      </c>
      <c r="D22" s="13">
        <v>400</v>
      </c>
      <c r="E22">
        <v>0</v>
      </c>
      <c r="F22" s="13">
        <v>508.47457627118644</v>
      </c>
      <c r="G22" s="24">
        <v>0</v>
      </c>
      <c r="H22" s="12">
        <v>0</v>
      </c>
      <c r="I22" s="18">
        <v>12721335795.413759</v>
      </c>
    </row>
    <row r="23" spans="1:9">
      <c r="B23" t="s">
        <v>85</v>
      </c>
      <c r="C23" s="3">
        <v>46172</v>
      </c>
      <c r="D23" s="13">
        <v>100</v>
      </c>
      <c r="E23">
        <v>0</v>
      </c>
      <c r="F23" s="13">
        <v>120</v>
      </c>
      <c r="G23" s="24">
        <v>0</v>
      </c>
      <c r="H23" s="12">
        <v>0</v>
      </c>
      <c r="I23" s="18">
        <v>3071326990.5</v>
      </c>
    </row>
    <row r="24" spans="1:9">
      <c r="C24" s="3">
        <v>46193</v>
      </c>
      <c r="D24" s="13">
        <v>150</v>
      </c>
      <c r="E24">
        <v>0</v>
      </c>
      <c r="F24" s="13">
        <v>180</v>
      </c>
      <c r="G24" s="24">
        <v>0</v>
      </c>
      <c r="H24" s="12">
        <v>0</v>
      </c>
      <c r="I24" s="18">
        <v>4606990485.75</v>
      </c>
    </row>
    <row r="25" spans="1:9">
      <c r="A25" t="s">
        <v>136</v>
      </c>
      <c r="D25" s="13">
        <v>1550</v>
      </c>
      <c r="E25">
        <v>0</v>
      </c>
      <c r="F25" s="13">
        <v>2216.963018230078</v>
      </c>
      <c r="G25" s="24">
        <v>0</v>
      </c>
      <c r="H25" s="12">
        <v>0</v>
      </c>
      <c r="I25" s="18">
        <v>49009731026.237259</v>
      </c>
    </row>
    <row r="26" spans="1:9">
      <c r="A26" t="s">
        <v>88</v>
      </c>
      <c r="B26" t="s">
        <v>90</v>
      </c>
      <c r="C26" s="3">
        <v>46162</v>
      </c>
      <c r="D26" s="13">
        <v>500</v>
      </c>
      <c r="E26">
        <v>12</v>
      </c>
      <c r="F26" s="13">
        <v>750</v>
      </c>
      <c r="G26" s="24">
        <v>18</v>
      </c>
      <c r="H26" s="12">
        <v>2.4E-2</v>
      </c>
      <c r="I26" s="18">
        <v>8256253500</v>
      </c>
    </row>
    <row r="27" spans="1:9">
      <c r="C27" s="3">
        <v>46203</v>
      </c>
      <c r="D27" s="13">
        <v>683</v>
      </c>
      <c r="E27">
        <v>0</v>
      </c>
      <c r="F27" s="13">
        <v>1229.3999999999999</v>
      </c>
      <c r="G27" s="24">
        <v>0</v>
      </c>
      <c r="H27" s="12">
        <v>0</v>
      </c>
      <c r="I27" s="18">
        <v>11278042281</v>
      </c>
    </row>
    <row r="28" spans="1:9">
      <c r="A28" t="s">
        <v>137</v>
      </c>
      <c r="D28" s="13">
        <v>1183</v>
      </c>
      <c r="E28">
        <v>12</v>
      </c>
      <c r="F28" s="13">
        <v>1979.3999999999999</v>
      </c>
      <c r="G28" s="24">
        <v>18</v>
      </c>
      <c r="H28" s="12">
        <v>2.4E-2</v>
      </c>
      <c r="I28" s="18">
        <v>19534295781</v>
      </c>
    </row>
    <row r="29" spans="1:9">
      <c r="A29" t="s">
        <v>92</v>
      </c>
      <c r="B29" t="s">
        <v>93</v>
      </c>
      <c r="C29" s="3">
        <v>46149</v>
      </c>
      <c r="D29" s="13">
        <v>1344</v>
      </c>
      <c r="E29">
        <v>0</v>
      </c>
      <c r="F29" s="13">
        <v>1842.5</v>
      </c>
      <c r="G29" s="24">
        <v>0</v>
      </c>
      <c r="H29" s="12">
        <v>0</v>
      </c>
      <c r="I29" s="18">
        <v>56292206192</v>
      </c>
    </row>
    <row r="30" spans="1:9">
      <c r="B30" t="s">
        <v>95</v>
      </c>
      <c r="C30" s="3">
        <v>46163</v>
      </c>
      <c r="D30" s="13">
        <v>376</v>
      </c>
      <c r="E30">
        <v>0</v>
      </c>
      <c r="F30" s="13">
        <v>503.84</v>
      </c>
      <c r="G30" s="24">
        <v>0</v>
      </c>
      <c r="H30" s="12">
        <v>0</v>
      </c>
      <c r="I30" s="18">
        <v>11930657218</v>
      </c>
    </row>
    <row r="31" spans="1:9">
      <c r="B31" t="s">
        <v>96</v>
      </c>
      <c r="C31" s="3">
        <v>46164</v>
      </c>
      <c r="D31" s="13">
        <v>80</v>
      </c>
      <c r="E31">
        <v>0</v>
      </c>
      <c r="F31" s="13">
        <v>58.08</v>
      </c>
      <c r="G31" s="24">
        <v>0</v>
      </c>
      <c r="H31" s="12">
        <v>0</v>
      </c>
      <c r="I31" s="18">
        <v>959419512</v>
      </c>
    </row>
    <row r="32" spans="1:9">
      <c r="B32" t="s">
        <v>97</v>
      </c>
      <c r="C32" s="3">
        <v>46169</v>
      </c>
      <c r="D32" s="13">
        <v>247</v>
      </c>
      <c r="E32">
        <v>0</v>
      </c>
      <c r="F32" s="13">
        <v>330.98</v>
      </c>
      <c r="G32" s="24">
        <v>0</v>
      </c>
      <c r="H32" s="12">
        <v>0</v>
      </c>
      <c r="I32" s="18">
        <v>7817475406</v>
      </c>
    </row>
    <row r="33" spans="1:9">
      <c r="B33" t="s">
        <v>98</v>
      </c>
      <c r="C33" s="3">
        <v>46149</v>
      </c>
      <c r="D33" s="13">
        <v>395</v>
      </c>
      <c r="E33">
        <v>0</v>
      </c>
      <c r="F33" s="13">
        <v>323.89999999999998</v>
      </c>
      <c r="G33" s="24">
        <v>0</v>
      </c>
      <c r="H33" s="12">
        <v>0</v>
      </c>
      <c r="I33" s="18">
        <v>10294382128</v>
      </c>
    </row>
    <row r="34" spans="1:9">
      <c r="B34" t="s">
        <v>100</v>
      </c>
      <c r="C34" s="3">
        <v>46190</v>
      </c>
      <c r="D34" s="13">
        <v>228</v>
      </c>
      <c r="E34">
        <v>0</v>
      </c>
      <c r="F34" s="13">
        <v>250.8</v>
      </c>
      <c r="G34" s="24">
        <v>0</v>
      </c>
      <c r="H34" s="12">
        <v>0</v>
      </c>
      <c r="I34" s="18">
        <v>7215361382</v>
      </c>
    </row>
    <row r="35" spans="1:9">
      <c r="A35" t="s">
        <v>138</v>
      </c>
      <c r="D35" s="13">
        <v>2670</v>
      </c>
      <c r="E35">
        <v>0</v>
      </c>
      <c r="F35" s="13">
        <v>3310.1000000000004</v>
      </c>
      <c r="G35" s="24">
        <v>0</v>
      </c>
      <c r="H35" s="12">
        <v>0</v>
      </c>
      <c r="I35" s="18">
        <v>94509501838</v>
      </c>
    </row>
    <row r="36" spans="1:9">
      <c r="A36" t="s">
        <v>101</v>
      </c>
      <c r="B36" t="s">
        <v>103</v>
      </c>
      <c r="C36" s="3">
        <v>46203</v>
      </c>
      <c r="D36" s="13">
        <v>500</v>
      </c>
      <c r="E36">
        <v>0</v>
      </c>
      <c r="F36" s="13">
        <v>1000</v>
      </c>
      <c r="G36" s="24">
        <v>0</v>
      </c>
      <c r="H36" s="12">
        <v>0</v>
      </c>
      <c r="I36" s="18">
        <v>7623200000</v>
      </c>
    </row>
    <row r="37" spans="1:9">
      <c r="B37" t="s">
        <v>107</v>
      </c>
      <c r="C37" s="3">
        <v>46203</v>
      </c>
      <c r="D37" s="13">
        <v>150</v>
      </c>
      <c r="E37">
        <v>0</v>
      </c>
      <c r="F37" s="13">
        <v>265</v>
      </c>
      <c r="G37" s="24">
        <v>0</v>
      </c>
      <c r="H37" s="12">
        <v>0</v>
      </c>
      <c r="I37" s="18">
        <v>1903500000</v>
      </c>
    </row>
    <row r="38" spans="1:9">
      <c r="B38" t="s">
        <v>108</v>
      </c>
      <c r="C38" s="3">
        <v>46172</v>
      </c>
      <c r="D38" s="13">
        <v>60</v>
      </c>
      <c r="E38">
        <v>0</v>
      </c>
      <c r="F38" s="13">
        <v>30</v>
      </c>
      <c r="G38" s="24">
        <v>0</v>
      </c>
      <c r="H38" s="12">
        <v>0</v>
      </c>
      <c r="I38" s="18">
        <v>283500000</v>
      </c>
    </row>
    <row r="39" spans="1:9">
      <c r="B39" t="s">
        <v>109</v>
      </c>
      <c r="C39" s="3">
        <v>46157</v>
      </c>
      <c r="D39" s="13">
        <v>500</v>
      </c>
      <c r="E39">
        <v>0</v>
      </c>
      <c r="F39" s="13">
        <v>2000</v>
      </c>
      <c r="G39" s="24">
        <v>0</v>
      </c>
      <c r="H39" s="12">
        <v>0</v>
      </c>
      <c r="I39" s="18">
        <v>8245082995.6800003</v>
      </c>
    </row>
    <row r="40" spans="1:9">
      <c r="B40" t="s">
        <v>110</v>
      </c>
      <c r="C40" s="3">
        <v>46203</v>
      </c>
      <c r="D40" s="13">
        <v>500</v>
      </c>
      <c r="E40">
        <v>0</v>
      </c>
      <c r="F40" s="13">
        <v>1000</v>
      </c>
      <c r="G40" s="24">
        <v>0</v>
      </c>
      <c r="H40" s="12">
        <v>0</v>
      </c>
      <c r="I40" s="18">
        <v>8245082995.6800003</v>
      </c>
    </row>
    <row r="41" spans="1:9">
      <c r="B41" t="s">
        <v>112</v>
      </c>
      <c r="C41" s="3">
        <v>46172</v>
      </c>
      <c r="D41" s="13">
        <v>500</v>
      </c>
      <c r="E41">
        <v>0</v>
      </c>
      <c r="F41" s="13">
        <v>2000</v>
      </c>
      <c r="G41" s="24">
        <v>0</v>
      </c>
      <c r="H41" s="12">
        <v>0</v>
      </c>
      <c r="I41" s="18">
        <v>6900000000</v>
      </c>
    </row>
    <row r="42" spans="1:9">
      <c r="B42" t="s">
        <v>116</v>
      </c>
      <c r="C42" s="3">
        <v>46203</v>
      </c>
      <c r="D42" s="13">
        <v>500</v>
      </c>
      <c r="E42">
        <v>0</v>
      </c>
      <c r="F42" s="13">
        <v>1000</v>
      </c>
      <c r="G42" s="24">
        <v>0</v>
      </c>
      <c r="H42" s="12">
        <v>0</v>
      </c>
      <c r="I42" s="18">
        <v>5830684998.54</v>
      </c>
    </row>
    <row r="43" spans="1:9">
      <c r="B43" t="s">
        <v>118</v>
      </c>
      <c r="C43" s="3">
        <v>46172</v>
      </c>
      <c r="D43" s="13">
        <v>500</v>
      </c>
      <c r="E43">
        <v>0</v>
      </c>
      <c r="F43" s="13">
        <v>1000</v>
      </c>
      <c r="G43" s="24">
        <v>0</v>
      </c>
      <c r="H43" s="12">
        <v>0</v>
      </c>
      <c r="I43" s="18">
        <v>6540000000</v>
      </c>
    </row>
    <row r="44" spans="1:9">
      <c r="B44" t="s">
        <v>119</v>
      </c>
      <c r="C44" s="3">
        <v>46203</v>
      </c>
      <c r="D44" s="13">
        <v>500</v>
      </c>
      <c r="E44">
        <v>0</v>
      </c>
      <c r="F44" s="13">
        <v>1000</v>
      </c>
      <c r="G44" s="24">
        <v>0</v>
      </c>
      <c r="H44" s="12">
        <v>0</v>
      </c>
      <c r="I44" s="18">
        <v>6540000000</v>
      </c>
    </row>
    <row r="45" spans="1:9">
      <c r="B45" t="s">
        <v>122</v>
      </c>
      <c r="C45" s="3">
        <v>46203</v>
      </c>
      <c r="D45" s="13">
        <v>100</v>
      </c>
      <c r="E45">
        <v>0</v>
      </c>
      <c r="F45" s="13">
        <v>105</v>
      </c>
      <c r="G45" s="24">
        <v>0</v>
      </c>
      <c r="H45" s="12">
        <v>0</v>
      </c>
      <c r="I45" s="18">
        <v>684600000</v>
      </c>
    </row>
    <row r="46" spans="1:9">
      <c r="B46" t="s">
        <v>123</v>
      </c>
      <c r="C46" s="3">
        <v>46203</v>
      </c>
      <c r="D46" s="13">
        <v>210</v>
      </c>
      <c r="E46">
        <v>0</v>
      </c>
      <c r="F46" s="13">
        <v>240</v>
      </c>
      <c r="G46" s="24">
        <v>0</v>
      </c>
      <c r="H46" s="12">
        <v>0</v>
      </c>
      <c r="I46" s="18">
        <v>1128000000</v>
      </c>
    </row>
    <row r="47" spans="1:9">
      <c r="A47" t="s">
        <v>139</v>
      </c>
      <c r="D47" s="13">
        <v>4020</v>
      </c>
      <c r="E47">
        <v>0</v>
      </c>
      <c r="F47" s="13">
        <v>9640</v>
      </c>
      <c r="G47" s="24">
        <v>0</v>
      </c>
      <c r="H47" s="12">
        <v>0</v>
      </c>
      <c r="I47" s="18">
        <v>53923650989.900002</v>
      </c>
    </row>
    <row r="48" spans="1:9">
      <c r="A48" t="s">
        <v>140</v>
      </c>
      <c r="D48" s="13">
        <v>12166</v>
      </c>
      <c r="E48">
        <v>192</v>
      </c>
      <c r="F48" s="13">
        <v>20250.292712091778</v>
      </c>
      <c r="G48" s="24">
        <v>237.58266452648476</v>
      </c>
      <c r="H48" s="12">
        <v>0.92400000000000004</v>
      </c>
      <c r="I48" s="18">
        <v>301852756812.48096</v>
      </c>
    </row>
  </sheetData>
  <pageMargins left="0.70866141732283472" right="0.70866141732283472" top="0.74803149606299213" bottom="0.74803149606299213" header="0.31496062992125984" footer="0.31496062992125984"/>
  <pageSetup scale="62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2C4C5-3EBE-45B6-9A60-209FEE5C77D9}">
  <dimension ref="A1:AB20"/>
  <sheetViews>
    <sheetView workbookViewId="0">
      <selection activeCell="F24" sqref="F24"/>
    </sheetView>
  </sheetViews>
  <sheetFormatPr defaultColWidth="9.28515625" defaultRowHeight="14.25"/>
  <cols>
    <col min="1" max="1" width="9.85546875" style="82" customWidth="1"/>
    <col min="2" max="2" width="18" style="82" customWidth="1"/>
    <col min="3" max="3" width="18.5703125" style="82" customWidth="1"/>
    <col min="4" max="4" width="16.42578125" style="82" customWidth="1"/>
    <col min="5" max="5" width="15.85546875" style="96" bestFit="1" customWidth="1"/>
    <col min="6" max="6" width="22.140625" style="97" customWidth="1"/>
    <col min="7" max="7" width="15.85546875" style="97" customWidth="1"/>
    <col min="8" max="10" width="12.42578125" style="82" customWidth="1"/>
    <col min="11" max="11" width="12.42578125" style="98" customWidth="1"/>
    <col min="12" max="16" width="12.42578125" style="82" customWidth="1"/>
    <col min="17" max="17" width="13.28515625" style="98" customWidth="1"/>
    <col min="18" max="24" width="12.42578125" style="82" customWidth="1"/>
    <col min="25" max="25" width="12.42578125" style="98" customWidth="1"/>
    <col min="26" max="26" width="16.85546875" style="82" customWidth="1"/>
    <col min="27" max="27" width="15.85546875" style="82" customWidth="1"/>
    <col min="28" max="28" width="14.85546875" style="82" customWidth="1"/>
    <col min="29" max="16384" width="9.28515625" style="82"/>
  </cols>
  <sheetData>
    <row r="1" spans="1:28" s="75" customFormat="1" ht="36.6" customHeight="1">
      <c r="A1" s="70" t="s">
        <v>141</v>
      </c>
      <c r="B1" s="71" t="s">
        <v>142</v>
      </c>
      <c r="C1" s="71" t="s">
        <v>143</v>
      </c>
      <c r="D1" s="71" t="s">
        <v>144</v>
      </c>
      <c r="E1" s="71" t="s">
        <v>145</v>
      </c>
      <c r="F1" s="71" t="s">
        <v>146</v>
      </c>
      <c r="G1" s="71" t="s">
        <v>147</v>
      </c>
      <c r="H1" s="72" t="s">
        <v>148</v>
      </c>
      <c r="I1" s="72" t="s">
        <v>149</v>
      </c>
      <c r="J1" s="72" t="s">
        <v>150</v>
      </c>
      <c r="K1" s="72" t="s">
        <v>151</v>
      </c>
      <c r="L1" s="72" t="s">
        <v>152</v>
      </c>
      <c r="M1" s="72" t="s">
        <v>153</v>
      </c>
      <c r="N1" s="72" t="s">
        <v>154</v>
      </c>
      <c r="O1" s="72" t="s">
        <v>155</v>
      </c>
      <c r="P1" s="72" t="s">
        <v>156</v>
      </c>
      <c r="Q1" s="72" t="s">
        <v>157</v>
      </c>
      <c r="R1" s="72" t="s">
        <v>158</v>
      </c>
      <c r="S1" s="72" t="s">
        <v>159</v>
      </c>
      <c r="T1" s="72" t="s">
        <v>160</v>
      </c>
      <c r="U1" s="72" t="s">
        <v>161</v>
      </c>
      <c r="V1" s="72" t="s">
        <v>162</v>
      </c>
      <c r="W1" s="72" t="s">
        <v>163</v>
      </c>
      <c r="X1" s="72" t="s">
        <v>164</v>
      </c>
      <c r="Y1" s="72" t="s">
        <v>165</v>
      </c>
      <c r="Z1" s="73" t="s">
        <v>166</v>
      </c>
      <c r="AA1" s="73" t="s">
        <v>167</v>
      </c>
      <c r="AB1" s="74" t="s">
        <v>168</v>
      </c>
    </row>
    <row r="2" spans="1:28" hidden="1">
      <c r="A2" s="76" t="s">
        <v>169</v>
      </c>
      <c r="B2" s="77" t="s">
        <v>170</v>
      </c>
      <c r="C2" s="77" t="s">
        <v>169</v>
      </c>
      <c r="D2" s="77" t="s">
        <v>27</v>
      </c>
      <c r="E2" s="78">
        <v>79316865070</v>
      </c>
      <c r="F2" s="79">
        <v>4</v>
      </c>
      <c r="G2" s="79">
        <v>2036</v>
      </c>
      <c r="H2" s="79">
        <v>50</v>
      </c>
      <c r="I2" s="79">
        <v>100</v>
      </c>
      <c r="J2" s="79">
        <v>150</v>
      </c>
      <c r="K2" s="79">
        <v>200</v>
      </c>
      <c r="L2" s="79">
        <v>270</v>
      </c>
      <c r="M2" s="79">
        <v>320</v>
      </c>
      <c r="N2" s="79">
        <v>350</v>
      </c>
      <c r="O2" s="79">
        <v>370</v>
      </c>
      <c r="P2" s="79">
        <v>380</v>
      </c>
      <c r="Q2" s="79">
        <v>400</v>
      </c>
      <c r="R2" s="79">
        <v>900</v>
      </c>
      <c r="S2" s="79">
        <v>1100</v>
      </c>
      <c r="T2" s="79">
        <v>1450</v>
      </c>
      <c r="U2" s="79">
        <v>1650</v>
      </c>
      <c r="V2" s="79">
        <v>1700</v>
      </c>
      <c r="W2" s="79">
        <v>1800</v>
      </c>
      <c r="X2" s="79">
        <v>1900</v>
      </c>
      <c r="Y2" s="79">
        <v>2036</v>
      </c>
      <c r="Z2" s="80">
        <f>+(K2*F2)/G2</f>
        <v>0.39292730844793711</v>
      </c>
      <c r="AA2" s="80">
        <f>+(Q2*F2)/G2</f>
        <v>0.78585461689587421</v>
      </c>
      <c r="AB2" s="81">
        <f>+(Y2*F2)/G2</f>
        <v>4</v>
      </c>
    </row>
    <row r="3" spans="1:28" ht="26.25" hidden="1">
      <c r="A3" s="76" t="s">
        <v>171</v>
      </c>
      <c r="B3" s="77" t="s">
        <v>170</v>
      </c>
      <c r="C3" s="77" t="s">
        <v>171</v>
      </c>
      <c r="D3" s="77" t="s">
        <v>18</v>
      </c>
      <c r="E3" s="78">
        <v>83008042889</v>
      </c>
      <c r="F3" s="79">
        <v>3</v>
      </c>
      <c r="G3" s="79">
        <v>2295</v>
      </c>
      <c r="H3" s="79">
        <v>20</v>
      </c>
      <c r="I3" s="79">
        <f>+H3+25</f>
        <v>45</v>
      </c>
      <c r="J3" s="79">
        <f>+I3+70</f>
        <v>115</v>
      </c>
      <c r="K3" s="79">
        <v>200</v>
      </c>
      <c r="L3" s="79">
        <v>230</v>
      </c>
      <c r="M3" s="79">
        <f>+L3+10</f>
        <v>240</v>
      </c>
      <c r="N3" s="79">
        <f>+M3+50</f>
        <v>290</v>
      </c>
      <c r="O3" s="79">
        <f>+N3+60</f>
        <v>350</v>
      </c>
      <c r="P3" s="79">
        <f>+O3+20</f>
        <v>370</v>
      </c>
      <c r="Q3" s="79">
        <v>400</v>
      </c>
      <c r="R3" s="79">
        <v>425</v>
      </c>
      <c r="S3" s="79">
        <f>+R3+100</f>
        <v>525</v>
      </c>
      <c r="T3" s="79">
        <f>+S3+250</f>
        <v>775</v>
      </c>
      <c r="U3" s="79">
        <f>+T3+250</f>
        <v>1025</v>
      </c>
      <c r="V3" s="79">
        <f>+U3+250</f>
        <v>1275</v>
      </c>
      <c r="W3" s="79">
        <f>+V3+600</f>
        <v>1875</v>
      </c>
      <c r="X3" s="79">
        <f>+W3+100</f>
        <v>1975</v>
      </c>
      <c r="Y3" s="79">
        <v>2295</v>
      </c>
      <c r="Z3" s="80">
        <f t="shared" ref="Z3:Z18" si="0">+(K3*F3)/G3</f>
        <v>0.26143790849673204</v>
      </c>
      <c r="AA3" s="80">
        <f t="shared" ref="AA3:AA18" si="1">+(Q3*F3)/G3</f>
        <v>0.52287581699346408</v>
      </c>
      <c r="AB3" s="81">
        <f t="shared" ref="AB3:AB18" si="2">+(Y3*F3)/G3</f>
        <v>3</v>
      </c>
    </row>
    <row r="4" spans="1:28" ht="26.25" hidden="1">
      <c r="A4" s="76" t="s">
        <v>172</v>
      </c>
      <c r="B4" s="77" t="s">
        <v>78</v>
      </c>
      <c r="C4" s="77" t="s">
        <v>173</v>
      </c>
      <c r="D4" s="77" t="s">
        <v>27</v>
      </c>
      <c r="E4" s="78">
        <v>322709746890</v>
      </c>
      <c r="F4" s="79">
        <v>11.73</v>
      </c>
      <c r="G4" s="79">
        <v>10664</v>
      </c>
      <c r="H4" s="79">
        <v>0</v>
      </c>
      <c r="I4" s="79">
        <v>0</v>
      </c>
      <c r="J4" s="79">
        <v>80</v>
      </c>
      <c r="K4" s="79">
        <v>240</v>
      </c>
      <c r="L4" s="79">
        <v>400</v>
      </c>
      <c r="M4" s="79">
        <v>480</v>
      </c>
      <c r="N4" s="79">
        <v>560</v>
      </c>
      <c r="O4" s="79">
        <v>640</v>
      </c>
      <c r="P4" s="79">
        <v>720</v>
      </c>
      <c r="Q4" s="79">
        <v>800</v>
      </c>
      <c r="R4" s="79">
        <v>1050</v>
      </c>
      <c r="S4" s="79">
        <v>1550</v>
      </c>
      <c r="T4" s="79">
        <v>2350</v>
      </c>
      <c r="U4" s="79">
        <v>3350</v>
      </c>
      <c r="V4" s="79">
        <v>4600</v>
      </c>
      <c r="W4" s="79">
        <v>6100</v>
      </c>
      <c r="X4" s="79">
        <v>8100</v>
      </c>
      <c r="Y4" s="79">
        <v>10664</v>
      </c>
      <c r="Z4" s="80">
        <f t="shared" si="0"/>
        <v>0.26399099774943741</v>
      </c>
      <c r="AA4" s="80">
        <f t="shared" si="1"/>
        <v>0.87996999249812458</v>
      </c>
      <c r="AB4" s="81">
        <f t="shared" si="2"/>
        <v>11.73</v>
      </c>
    </row>
    <row r="5" spans="1:28" ht="39.4">
      <c r="A5" s="76" t="s">
        <v>174</v>
      </c>
      <c r="B5" s="77" t="s">
        <v>76</v>
      </c>
      <c r="C5" s="77" t="s">
        <v>175</v>
      </c>
      <c r="D5" s="77" t="s">
        <v>22</v>
      </c>
      <c r="E5" s="78">
        <v>121589085878</v>
      </c>
      <c r="F5" s="79">
        <v>4.16</v>
      </c>
      <c r="G5" s="79">
        <v>3783</v>
      </c>
      <c r="H5" s="79">
        <v>0</v>
      </c>
      <c r="I5" s="79">
        <v>0</v>
      </c>
      <c r="J5" s="79">
        <v>0</v>
      </c>
      <c r="K5" s="79">
        <v>0</v>
      </c>
      <c r="L5" s="79">
        <v>0</v>
      </c>
      <c r="M5" s="79">
        <v>0</v>
      </c>
      <c r="N5" s="79">
        <v>0</v>
      </c>
      <c r="O5" s="79">
        <v>150</v>
      </c>
      <c r="P5" s="79">
        <v>160</v>
      </c>
      <c r="Q5" s="79">
        <v>160</v>
      </c>
      <c r="R5" s="79">
        <v>160</v>
      </c>
      <c r="S5" s="79">
        <v>160</v>
      </c>
      <c r="T5" s="79">
        <v>410</v>
      </c>
      <c r="U5" s="79">
        <v>660</v>
      </c>
      <c r="V5" s="79">
        <v>910</v>
      </c>
      <c r="W5" s="79">
        <v>1510</v>
      </c>
      <c r="X5" s="79">
        <v>1610</v>
      </c>
      <c r="Y5" s="79">
        <v>3783</v>
      </c>
      <c r="Z5" s="80">
        <f t="shared" si="0"/>
        <v>0</v>
      </c>
      <c r="AA5" s="80">
        <f t="shared" si="1"/>
        <v>0.1759450171821306</v>
      </c>
      <c r="AB5" s="81">
        <f t="shared" si="2"/>
        <v>4.16</v>
      </c>
    </row>
    <row r="6" spans="1:28">
      <c r="A6" s="76" t="s">
        <v>75</v>
      </c>
      <c r="B6" s="77" t="s">
        <v>74</v>
      </c>
      <c r="C6" s="77" t="s">
        <v>75</v>
      </c>
      <c r="D6" s="77" t="s">
        <v>22</v>
      </c>
      <c r="E6" s="78">
        <v>27742028640</v>
      </c>
      <c r="F6" s="79">
        <v>0.95</v>
      </c>
      <c r="G6" s="79">
        <v>862</v>
      </c>
      <c r="H6" s="79">
        <v>70</v>
      </c>
      <c r="I6" s="79">
        <v>95</v>
      </c>
      <c r="J6" s="79">
        <v>165</v>
      </c>
      <c r="K6" s="79">
        <v>200</v>
      </c>
      <c r="L6" s="79">
        <v>250</v>
      </c>
      <c r="M6" s="79">
        <v>260</v>
      </c>
      <c r="N6" s="79">
        <v>310</v>
      </c>
      <c r="O6" s="79">
        <v>370</v>
      </c>
      <c r="P6" s="79">
        <v>390</v>
      </c>
      <c r="Q6" s="79">
        <v>400</v>
      </c>
      <c r="R6" s="79">
        <v>420</v>
      </c>
      <c r="S6" s="79">
        <v>470</v>
      </c>
      <c r="T6" s="79">
        <v>570</v>
      </c>
      <c r="U6" s="79">
        <v>595</v>
      </c>
      <c r="V6" s="79">
        <v>625</v>
      </c>
      <c r="W6" s="79">
        <v>650</v>
      </c>
      <c r="X6" s="79">
        <v>750</v>
      </c>
      <c r="Y6" s="79">
        <v>862</v>
      </c>
      <c r="Z6" s="80">
        <f t="shared" si="0"/>
        <v>0.22041763341067286</v>
      </c>
      <c r="AA6" s="80">
        <f t="shared" si="1"/>
        <v>0.44083526682134572</v>
      </c>
      <c r="AB6" s="81">
        <f t="shared" si="2"/>
        <v>0.95</v>
      </c>
    </row>
    <row r="7" spans="1:28">
      <c r="A7" s="76" t="s">
        <v>71</v>
      </c>
      <c r="B7" s="77" t="s">
        <v>70</v>
      </c>
      <c r="C7" s="77" t="s">
        <v>176</v>
      </c>
      <c r="D7" s="77" t="s">
        <v>22</v>
      </c>
      <c r="E7" s="78">
        <v>51087244522</v>
      </c>
      <c r="F7" s="79">
        <v>1.74</v>
      </c>
      <c r="G7" s="79">
        <v>1581</v>
      </c>
      <c r="H7" s="79">
        <v>100</v>
      </c>
      <c r="I7" s="79">
        <v>125</v>
      </c>
      <c r="J7" s="79">
        <v>185</v>
      </c>
      <c r="K7" s="79">
        <v>200</v>
      </c>
      <c r="L7" s="79">
        <v>220</v>
      </c>
      <c r="M7" s="79">
        <v>230</v>
      </c>
      <c r="N7" s="79">
        <v>280</v>
      </c>
      <c r="O7" s="79">
        <v>340</v>
      </c>
      <c r="P7" s="79">
        <v>360</v>
      </c>
      <c r="Q7" s="79">
        <v>400</v>
      </c>
      <c r="R7" s="79">
        <v>450</v>
      </c>
      <c r="S7" s="79">
        <v>550</v>
      </c>
      <c r="T7" s="79">
        <v>650</v>
      </c>
      <c r="U7" s="79">
        <v>700</v>
      </c>
      <c r="V7" s="79">
        <v>800</v>
      </c>
      <c r="W7" s="79">
        <v>1000</v>
      </c>
      <c r="X7" s="79">
        <v>1100</v>
      </c>
      <c r="Y7" s="79">
        <v>1581</v>
      </c>
      <c r="Z7" s="80">
        <f t="shared" si="0"/>
        <v>0.22011385199240988</v>
      </c>
      <c r="AA7" s="80">
        <f t="shared" si="1"/>
        <v>0.44022770398481975</v>
      </c>
      <c r="AB7" s="81">
        <f t="shared" si="2"/>
        <v>1.74</v>
      </c>
    </row>
    <row r="8" spans="1:28" ht="65.650000000000006">
      <c r="A8" s="76" t="s">
        <v>177</v>
      </c>
      <c r="B8" s="77" t="s">
        <v>72</v>
      </c>
      <c r="C8" s="77" t="s">
        <v>178</v>
      </c>
      <c r="D8" s="77" t="s">
        <v>22</v>
      </c>
      <c r="E8" s="78">
        <v>37573918087</v>
      </c>
      <c r="F8" s="79">
        <v>1.27</v>
      </c>
      <c r="G8" s="79">
        <v>1158</v>
      </c>
      <c r="H8" s="79">
        <v>20</v>
      </c>
      <c r="I8" s="79">
        <v>45</v>
      </c>
      <c r="J8" s="79">
        <v>115</v>
      </c>
      <c r="K8" s="79">
        <v>200</v>
      </c>
      <c r="L8" s="79">
        <v>210</v>
      </c>
      <c r="M8" s="79">
        <v>220</v>
      </c>
      <c r="N8" s="79">
        <v>270</v>
      </c>
      <c r="O8" s="79">
        <v>330</v>
      </c>
      <c r="P8" s="79">
        <v>350</v>
      </c>
      <c r="Q8" s="79">
        <v>400</v>
      </c>
      <c r="R8" s="79">
        <v>500</v>
      </c>
      <c r="S8" s="79">
        <v>550</v>
      </c>
      <c r="T8" s="79">
        <v>750</v>
      </c>
      <c r="U8" s="79">
        <v>900</v>
      </c>
      <c r="V8" s="79">
        <v>960</v>
      </c>
      <c r="W8" s="79">
        <v>980</v>
      </c>
      <c r="X8" s="79">
        <v>1080</v>
      </c>
      <c r="Y8" s="79">
        <v>1158</v>
      </c>
      <c r="Z8" s="80">
        <f t="shared" si="0"/>
        <v>0.21934369602763384</v>
      </c>
      <c r="AA8" s="80">
        <f t="shared" si="1"/>
        <v>0.43868739205526769</v>
      </c>
      <c r="AB8" s="81">
        <f t="shared" si="2"/>
        <v>1.27</v>
      </c>
    </row>
    <row r="9" spans="1:28" ht="26.25">
      <c r="A9" s="76" t="s">
        <v>179</v>
      </c>
      <c r="B9" s="77" t="s">
        <v>72</v>
      </c>
      <c r="C9" s="77" t="s">
        <v>180</v>
      </c>
      <c r="D9" s="77" t="s">
        <v>22</v>
      </c>
      <c r="E9" s="78">
        <v>4402514558</v>
      </c>
      <c r="F9" s="79">
        <v>0.19</v>
      </c>
      <c r="G9" s="79">
        <v>154</v>
      </c>
      <c r="H9" s="79">
        <v>0</v>
      </c>
      <c r="I9" s="79">
        <v>0</v>
      </c>
      <c r="J9" s="79">
        <v>0</v>
      </c>
      <c r="K9" s="79">
        <v>0</v>
      </c>
      <c r="L9" s="79">
        <v>0</v>
      </c>
      <c r="M9" s="79">
        <v>0</v>
      </c>
      <c r="N9" s="79">
        <v>50</v>
      </c>
      <c r="O9" s="79">
        <v>83</v>
      </c>
      <c r="P9" s="79">
        <v>47</v>
      </c>
      <c r="Q9" s="79">
        <v>50</v>
      </c>
      <c r="R9" s="79">
        <v>60</v>
      </c>
      <c r="S9" s="79">
        <v>65</v>
      </c>
      <c r="T9" s="79">
        <v>70</v>
      </c>
      <c r="U9" s="79">
        <v>80</v>
      </c>
      <c r="V9" s="79">
        <v>85</v>
      </c>
      <c r="W9" s="79">
        <v>90</v>
      </c>
      <c r="X9" s="79">
        <v>95</v>
      </c>
      <c r="Y9" s="79">
        <v>154</v>
      </c>
      <c r="Z9" s="80">
        <f t="shared" si="0"/>
        <v>0</v>
      </c>
      <c r="AA9" s="80">
        <f t="shared" si="1"/>
        <v>6.1688311688311688E-2</v>
      </c>
      <c r="AB9" s="81">
        <f t="shared" si="2"/>
        <v>0.19</v>
      </c>
    </row>
    <row r="10" spans="1:28" hidden="1">
      <c r="A10" s="76" t="s">
        <v>181</v>
      </c>
      <c r="B10" s="77" t="s">
        <v>83</v>
      </c>
      <c r="C10" s="77" t="s">
        <v>181</v>
      </c>
      <c r="D10" s="77" t="s">
        <v>18</v>
      </c>
      <c r="E10" s="78">
        <v>31420264769</v>
      </c>
      <c r="F10" s="79">
        <v>1.21</v>
      </c>
      <c r="G10" s="79">
        <v>1003</v>
      </c>
      <c r="H10" s="79">
        <v>60</v>
      </c>
      <c r="I10" s="79">
        <f t="shared" ref="I10:I18" si="3">+H10+25</f>
        <v>85</v>
      </c>
      <c r="J10" s="79">
        <f t="shared" ref="J10:J18" si="4">+I10+70</f>
        <v>155</v>
      </c>
      <c r="K10" s="79">
        <v>200</v>
      </c>
      <c r="L10" s="79">
        <v>225</v>
      </c>
      <c r="M10" s="79">
        <f t="shared" ref="M10:M18" si="5">+L10+10</f>
        <v>235</v>
      </c>
      <c r="N10" s="79">
        <f t="shared" ref="N10:N18" si="6">+M10+50</f>
        <v>285</v>
      </c>
      <c r="O10" s="79">
        <f t="shared" ref="O10:O18" si="7">+N10+60</f>
        <v>345</v>
      </c>
      <c r="P10" s="79">
        <f t="shared" ref="P10:P18" si="8">+O10+20</f>
        <v>365</v>
      </c>
      <c r="Q10" s="79">
        <v>400</v>
      </c>
      <c r="R10" s="79">
        <v>450</v>
      </c>
      <c r="S10" s="79">
        <f t="shared" ref="S10:S18" si="9">+R10+10</f>
        <v>460</v>
      </c>
      <c r="T10" s="79">
        <f>+S10+20</f>
        <v>480</v>
      </c>
      <c r="U10" s="79">
        <f>+T10+100</f>
        <v>580</v>
      </c>
      <c r="V10" s="79">
        <f>+U10+200</f>
        <v>780</v>
      </c>
      <c r="W10" s="79">
        <f>+V10+10</f>
        <v>790</v>
      </c>
      <c r="X10" s="79">
        <f>+W10+20</f>
        <v>810</v>
      </c>
      <c r="Y10" s="79">
        <v>1003</v>
      </c>
      <c r="Z10" s="80">
        <f t="shared" si="0"/>
        <v>0.24127617148554337</v>
      </c>
      <c r="AA10" s="80">
        <f t="shared" si="1"/>
        <v>0.48255234297108673</v>
      </c>
      <c r="AB10" s="81">
        <f t="shared" si="2"/>
        <v>1.21</v>
      </c>
    </row>
    <row r="11" spans="1:28" s="89" customFormat="1">
      <c r="A11" s="83" t="s">
        <v>63</v>
      </c>
      <c r="B11" s="84" t="s">
        <v>62</v>
      </c>
      <c r="C11" s="84" t="s">
        <v>182</v>
      </c>
      <c r="D11" s="84" t="s">
        <v>22</v>
      </c>
      <c r="E11" s="85">
        <v>18447808737</v>
      </c>
      <c r="F11" s="86">
        <v>0.76</v>
      </c>
      <c r="G11" s="86">
        <v>623</v>
      </c>
      <c r="H11" s="86">
        <v>60</v>
      </c>
      <c r="I11" s="86">
        <v>120</v>
      </c>
      <c r="J11" s="86">
        <v>180</v>
      </c>
      <c r="K11" s="86">
        <v>200</v>
      </c>
      <c r="L11" s="86">
        <v>250</v>
      </c>
      <c r="M11" s="86">
        <v>300</v>
      </c>
      <c r="N11" s="86">
        <v>350</v>
      </c>
      <c r="O11" s="86">
        <v>400</v>
      </c>
      <c r="P11" s="86">
        <v>430</v>
      </c>
      <c r="Q11" s="86">
        <v>460</v>
      </c>
      <c r="R11" s="86">
        <v>500</v>
      </c>
      <c r="S11" s="86">
        <v>530</v>
      </c>
      <c r="T11" s="86">
        <v>560</v>
      </c>
      <c r="U11" s="86">
        <v>580</v>
      </c>
      <c r="V11" s="86">
        <v>600</v>
      </c>
      <c r="W11" s="86">
        <v>610</v>
      </c>
      <c r="X11" s="86">
        <v>623</v>
      </c>
      <c r="Y11" s="86">
        <v>623</v>
      </c>
      <c r="Z11" s="87">
        <f t="shared" si="0"/>
        <v>0.24398073836276082</v>
      </c>
      <c r="AA11" s="87">
        <f t="shared" si="1"/>
        <v>0.56115569823434996</v>
      </c>
      <c r="AB11" s="88">
        <f t="shared" si="2"/>
        <v>0.76</v>
      </c>
    </row>
    <row r="12" spans="1:28">
      <c r="A12" s="76" t="s">
        <v>183</v>
      </c>
      <c r="B12" s="77" t="s">
        <v>62</v>
      </c>
      <c r="C12" s="77" t="s">
        <v>183</v>
      </c>
      <c r="D12" s="77" t="s">
        <v>22</v>
      </c>
      <c r="E12" s="78">
        <v>18114661005</v>
      </c>
      <c r="F12" s="79">
        <v>0.76</v>
      </c>
      <c r="G12" s="79">
        <v>624</v>
      </c>
      <c r="H12" s="79">
        <v>0</v>
      </c>
      <c r="I12" s="79">
        <v>0</v>
      </c>
      <c r="J12" s="79">
        <v>0</v>
      </c>
      <c r="K12" s="79">
        <v>100</v>
      </c>
      <c r="L12" s="79">
        <v>120</v>
      </c>
      <c r="M12" s="79">
        <v>150</v>
      </c>
      <c r="N12" s="79">
        <v>200</v>
      </c>
      <c r="O12" s="79">
        <v>250</v>
      </c>
      <c r="P12" s="79">
        <v>270</v>
      </c>
      <c r="Q12" s="79">
        <v>400</v>
      </c>
      <c r="R12" s="79">
        <v>410</v>
      </c>
      <c r="S12" s="79">
        <v>420</v>
      </c>
      <c r="T12" s="79">
        <v>430</v>
      </c>
      <c r="U12" s="79">
        <v>480</v>
      </c>
      <c r="V12" s="79">
        <v>580</v>
      </c>
      <c r="W12" s="79">
        <v>590</v>
      </c>
      <c r="X12" s="79">
        <v>610</v>
      </c>
      <c r="Y12" s="79">
        <v>624</v>
      </c>
      <c r="Z12" s="80">
        <f t="shared" si="0"/>
        <v>0.12179487179487179</v>
      </c>
      <c r="AA12" s="80">
        <f t="shared" si="1"/>
        <v>0.48717948717948717</v>
      </c>
      <c r="AB12" s="81">
        <f t="shared" si="2"/>
        <v>0.76</v>
      </c>
    </row>
    <row r="13" spans="1:28" hidden="1">
      <c r="A13" s="76" t="s">
        <v>85</v>
      </c>
      <c r="B13" s="77" t="s">
        <v>78</v>
      </c>
      <c r="C13" s="77" t="s">
        <v>85</v>
      </c>
      <c r="D13" s="77" t="s">
        <v>18</v>
      </c>
      <c r="E13" s="78">
        <v>30713269905</v>
      </c>
      <c r="F13" s="79">
        <v>1.2</v>
      </c>
      <c r="G13" s="79">
        <v>1000</v>
      </c>
      <c r="H13" s="79">
        <v>60</v>
      </c>
      <c r="I13" s="79">
        <f t="shared" si="3"/>
        <v>85</v>
      </c>
      <c r="J13" s="79">
        <f t="shared" si="4"/>
        <v>155</v>
      </c>
      <c r="K13" s="79">
        <v>200</v>
      </c>
      <c r="L13" s="79">
        <v>210</v>
      </c>
      <c r="M13" s="79">
        <f t="shared" si="5"/>
        <v>220</v>
      </c>
      <c r="N13" s="79">
        <f t="shared" si="6"/>
        <v>270</v>
      </c>
      <c r="O13" s="79">
        <f t="shared" si="7"/>
        <v>330</v>
      </c>
      <c r="P13" s="79">
        <f t="shared" si="8"/>
        <v>350</v>
      </c>
      <c r="Q13" s="79">
        <v>400</v>
      </c>
      <c r="R13" s="79">
        <v>500</v>
      </c>
      <c r="S13" s="79">
        <f t="shared" si="9"/>
        <v>510</v>
      </c>
      <c r="T13" s="79">
        <f>+S13+20</f>
        <v>530</v>
      </c>
      <c r="U13" s="79">
        <f>+T13+100</f>
        <v>630</v>
      </c>
      <c r="V13" s="79">
        <f>+U13+200</f>
        <v>830</v>
      </c>
      <c r="W13" s="79">
        <f t="shared" ref="W13:W18" si="10">+V13+10</f>
        <v>840</v>
      </c>
      <c r="X13" s="79">
        <f t="shared" ref="X13:X18" si="11">+W13+20</f>
        <v>860</v>
      </c>
      <c r="Y13" s="79">
        <v>1000</v>
      </c>
      <c r="Z13" s="80">
        <f t="shared" si="0"/>
        <v>0.24</v>
      </c>
      <c r="AA13" s="80">
        <f t="shared" si="1"/>
        <v>0.48</v>
      </c>
      <c r="AB13" s="81">
        <f t="shared" si="2"/>
        <v>1.2</v>
      </c>
    </row>
    <row r="14" spans="1:28" hidden="1">
      <c r="A14" s="76" t="s">
        <v>184</v>
      </c>
      <c r="B14" s="77" t="s">
        <v>86</v>
      </c>
      <c r="C14" s="77" t="s">
        <v>184</v>
      </c>
      <c r="D14" s="77" t="s">
        <v>18</v>
      </c>
      <c r="E14" s="78">
        <v>6880380834</v>
      </c>
      <c r="F14" s="79">
        <v>0.31</v>
      </c>
      <c r="G14" s="79">
        <v>217</v>
      </c>
      <c r="H14" s="79">
        <v>20</v>
      </c>
      <c r="I14" s="79">
        <v>35</v>
      </c>
      <c r="J14" s="79">
        <v>45</v>
      </c>
      <c r="K14" s="79">
        <v>50</v>
      </c>
      <c r="L14" s="79">
        <v>60</v>
      </c>
      <c r="M14" s="79">
        <v>62</v>
      </c>
      <c r="N14" s="79">
        <v>70</v>
      </c>
      <c r="O14" s="79">
        <v>75</v>
      </c>
      <c r="P14" s="79">
        <f t="shared" si="8"/>
        <v>95</v>
      </c>
      <c r="Q14" s="79">
        <v>110</v>
      </c>
      <c r="R14" s="79">
        <v>120</v>
      </c>
      <c r="S14" s="79">
        <f t="shared" si="9"/>
        <v>130</v>
      </c>
      <c r="T14" s="79">
        <v>150</v>
      </c>
      <c r="U14" s="79">
        <v>175</v>
      </c>
      <c r="V14" s="79">
        <v>180</v>
      </c>
      <c r="W14" s="79">
        <v>185</v>
      </c>
      <c r="X14" s="79">
        <v>200</v>
      </c>
      <c r="Y14" s="79">
        <v>217</v>
      </c>
      <c r="Z14" s="80">
        <f t="shared" si="0"/>
        <v>7.1428571428571425E-2</v>
      </c>
      <c r="AA14" s="80">
        <f t="shared" si="1"/>
        <v>0.15714285714285714</v>
      </c>
      <c r="AB14" s="81">
        <f t="shared" si="2"/>
        <v>0.31</v>
      </c>
    </row>
    <row r="15" spans="1:28" ht="26.25" hidden="1">
      <c r="A15" s="76" t="s">
        <v>185</v>
      </c>
      <c r="B15" s="77" t="s">
        <v>86</v>
      </c>
      <c r="C15" s="77" t="s">
        <v>185</v>
      </c>
      <c r="D15" s="77" t="s">
        <v>18</v>
      </c>
      <c r="E15" s="78">
        <v>22802905997</v>
      </c>
      <c r="F15" s="79">
        <v>0.72</v>
      </c>
      <c r="G15" s="79">
        <v>719</v>
      </c>
      <c r="H15" s="79">
        <v>10</v>
      </c>
      <c r="I15" s="79">
        <f t="shared" si="3"/>
        <v>35</v>
      </c>
      <c r="J15" s="79">
        <f t="shared" si="4"/>
        <v>105</v>
      </c>
      <c r="K15" s="79">
        <v>200</v>
      </c>
      <c r="L15" s="79">
        <v>220</v>
      </c>
      <c r="M15" s="79">
        <f t="shared" si="5"/>
        <v>230</v>
      </c>
      <c r="N15" s="79">
        <f t="shared" si="6"/>
        <v>280</v>
      </c>
      <c r="O15" s="79">
        <f t="shared" si="7"/>
        <v>340</v>
      </c>
      <c r="P15" s="79">
        <f t="shared" si="8"/>
        <v>360</v>
      </c>
      <c r="Q15" s="79">
        <v>400</v>
      </c>
      <c r="R15" s="79">
        <v>420</v>
      </c>
      <c r="S15" s="79">
        <f t="shared" si="9"/>
        <v>430</v>
      </c>
      <c r="T15" s="79">
        <f>+S15+10</f>
        <v>440</v>
      </c>
      <c r="U15" s="79">
        <f>+T15+50</f>
        <v>490</v>
      </c>
      <c r="V15" s="79">
        <f>+U15+110</f>
        <v>600</v>
      </c>
      <c r="W15" s="79">
        <f t="shared" si="10"/>
        <v>610</v>
      </c>
      <c r="X15" s="79">
        <f t="shared" si="11"/>
        <v>630</v>
      </c>
      <c r="Y15" s="79">
        <v>719</v>
      </c>
      <c r="Z15" s="80">
        <f t="shared" si="0"/>
        <v>0.20027816411682892</v>
      </c>
      <c r="AA15" s="80">
        <f t="shared" si="1"/>
        <v>0.40055632823365783</v>
      </c>
      <c r="AB15" s="81">
        <f t="shared" si="2"/>
        <v>0.72</v>
      </c>
    </row>
    <row r="16" spans="1:28" hidden="1">
      <c r="A16" s="76" t="s">
        <v>186</v>
      </c>
      <c r="B16" s="77" t="s">
        <v>86</v>
      </c>
      <c r="C16" s="77" t="s">
        <v>186</v>
      </c>
      <c r="D16" s="77" t="s">
        <v>18</v>
      </c>
      <c r="E16" s="78">
        <v>9349545113</v>
      </c>
      <c r="F16" s="79">
        <v>0.42</v>
      </c>
      <c r="G16" s="79">
        <v>293</v>
      </c>
      <c r="H16" s="79">
        <v>10</v>
      </c>
      <c r="I16" s="79">
        <v>20</v>
      </c>
      <c r="J16" s="79">
        <v>30</v>
      </c>
      <c r="K16" s="79">
        <v>50</v>
      </c>
      <c r="L16" s="79">
        <v>60</v>
      </c>
      <c r="M16" s="79">
        <f t="shared" si="5"/>
        <v>70</v>
      </c>
      <c r="N16" s="79">
        <v>80</v>
      </c>
      <c r="O16" s="79">
        <v>85</v>
      </c>
      <c r="P16" s="79">
        <v>90</v>
      </c>
      <c r="Q16" s="79">
        <v>100</v>
      </c>
      <c r="R16" s="79">
        <v>110</v>
      </c>
      <c r="S16" s="79">
        <f t="shared" si="9"/>
        <v>120</v>
      </c>
      <c r="T16" s="79">
        <v>130</v>
      </c>
      <c r="U16" s="79">
        <v>150</v>
      </c>
      <c r="V16" s="79">
        <v>160</v>
      </c>
      <c r="W16" s="79">
        <v>180</v>
      </c>
      <c r="X16" s="79">
        <v>185</v>
      </c>
      <c r="Y16" s="79">
        <v>293</v>
      </c>
      <c r="Z16" s="80">
        <f t="shared" si="0"/>
        <v>7.1672354948805458E-2</v>
      </c>
      <c r="AA16" s="80">
        <f t="shared" si="1"/>
        <v>0.14334470989761092</v>
      </c>
      <c r="AB16" s="81">
        <f t="shared" si="2"/>
        <v>0.42</v>
      </c>
    </row>
    <row r="17" spans="1:28" ht="26.25" hidden="1">
      <c r="A17" s="76" t="s">
        <v>187</v>
      </c>
      <c r="B17" s="77" t="s">
        <v>86</v>
      </c>
      <c r="C17" s="77" t="s">
        <v>187</v>
      </c>
      <c r="D17" s="77" t="s">
        <v>18</v>
      </c>
      <c r="E17" s="78">
        <v>24764667070</v>
      </c>
      <c r="F17" s="79">
        <v>1.1000000000000001</v>
      </c>
      <c r="G17" s="79">
        <v>777</v>
      </c>
      <c r="H17" s="79">
        <v>60</v>
      </c>
      <c r="I17" s="79">
        <f t="shared" si="3"/>
        <v>85</v>
      </c>
      <c r="J17" s="79">
        <f t="shared" si="4"/>
        <v>155</v>
      </c>
      <c r="K17" s="79">
        <v>200</v>
      </c>
      <c r="L17" s="79">
        <v>225</v>
      </c>
      <c r="M17" s="79">
        <f t="shared" si="5"/>
        <v>235</v>
      </c>
      <c r="N17" s="79">
        <f t="shared" si="6"/>
        <v>285</v>
      </c>
      <c r="O17" s="79">
        <f t="shared" si="7"/>
        <v>345</v>
      </c>
      <c r="P17" s="79">
        <f t="shared" si="8"/>
        <v>365</v>
      </c>
      <c r="Q17" s="79">
        <v>300</v>
      </c>
      <c r="R17" s="79">
        <v>320</v>
      </c>
      <c r="S17" s="79">
        <f t="shared" si="9"/>
        <v>330</v>
      </c>
      <c r="T17" s="79">
        <f>+S17+10</f>
        <v>340</v>
      </c>
      <c r="U17" s="79">
        <f>+T17+50</f>
        <v>390</v>
      </c>
      <c r="V17" s="79">
        <f>+U17+110</f>
        <v>500</v>
      </c>
      <c r="W17" s="79">
        <f t="shared" si="10"/>
        <v>510</v>
      </c>
      <c r="X17" s="79">
        <f t="shared" si="11"/>
        <v>530</v>
      </c>
      <c r="Y17" s="79">
        <v>777</v>
      </c>
      <c r="Z17" s="80">
        <f t="shared" si="0"/>
        <v>0.28314028314028317</v>
      </c>
      <c r="AA17" s="80">
        <f t="shared" si="1"/>
        <v>0.42471042471042469</v>
      </c>
      <c r="AB17" s="81">
        <f t="shared" si="2"/>
        <v>1.1000000000000001</v>
      </c>
    </row>
    <row r="18" spans="1:28" ht="26.25" hidden="1">
      <c r="A18" s="90" t="s">
        <v>188</v>
      </c>
      <c r="B18" s="91" t="s">
        <v>189</v>
      </c>
      <c r="C18" s="91" t="s">
        <v>188</v>
      </c>
      <c r="D18" s="91" t="s">
        <v>18</v>
      </c>
      <c r="E18" s="92">
        <v>24437339433</v>
      </c>
      <c r="F18" s="93">
        <v>1.52</v>
      </c>
      <c r="G18" s="93">
        <v>755</v>
      </c>
      <c r="H18" s="93">
        <v>35</v>
      </c>
      <c r="I18" s="93">
        <f t="shared" si="3"/>
        <v>60</v>
      </c>
      <c r="J18" s="93">
        <f t="shared" si="4"/>
        <v>130</v>
      </c>
      <c r="K18" s="93">
        <v>200</v>
      </c>
      <c r="L18" s="93">
        <v>220</v>
      </c>
      <c r="M18" s="93">
        <f t="shared" si="5"/>
        <v>230</v>
      </c>
      <c r="N18" s="93">
        <f t="shared" si="6"/>
        <v>280</v>
      </c>
      <c r="O18" s="93">
        <f t="shared" si="7"/>
        <v>340</v>
      </c>
      <c r="P18" s="93">
        <f t="shared" si="8"/>
        <v>360</v>
      </c>
      <c r="Q18" s="93">
        <v>300</v>
      </c>
      <c r="R18" s="93">
        <v>310</v>
      </c>
      <c r="S18" s="93">
        <f t="shared" si="9"/>
        <v>320</v>
      </c>
      <c r="T18" s="93">
        <f>+S18+10</f>
        <v>330</v>
      </c>
      <c r="U18" s="93">
        <f>+T18+50</f>
        <v>380</v>
      </c>
      <c r="V18" s="93">
        <f>+U18+110</f>
        <v>490</v>
      </c>
      <c r="W18" s="93">
        <f t="shared" si="10"/>
        <v>500</v>
      </c>
      <c r="X18" s="93">
        <f t="shared" si="11"/>
        <v>520</v>
      </c>
      <c r="Y18" s="93">
        <v>755</v>
      </c>
      <c r="Z18" s="94">
        <f t="shared" si="0"/>
        <v>0.40264900662251657</v>
      </c>
      <c r="AA18" s="94">
        <f t="shared" si="1"/>
        <v>0.60397350993377485</v>
      </c>
      <c r="AB18" s="95">
        <f t="shared" si="2"/>
        <v>1.5199999999999998</v>
      </c>
    </row>
    <row r="20" spans="1:28">
      <c r="H20" s="97">
        <f>SUM(H2:H19)</f>
        <v>575</v>
      </c>
      <c r="I20" s="97">
        <f t="shared" ref="I20:Y20" si="12">SUM(I2:I19)</f>
        <v>935</v>
      </c>
      <c r="J20" s="97">
        <f t="shared" si="12"/>
        <v>1765</v>
      </c>
      <c r="K20" s="97">
        <f t="shared" si="12"/>
        <v>2640</v>
      </c>
      <c r="L20" s="97">
        <f t="shared" si="12"/>
        <v>3170</v>
      </c>
      <c r="M20" s="97">
        <f t="shared" si="12"/>
        <v>3482</v>
      </c>
      <c r="N20" s="97">
        <f t="shared" si="12"/>
        <v>4210</v>
      </c>
      <c r="O20" s="97">
        <f t="shared" si="12"/>
        <v>5143</v>
      </c>
      <c r="P20" s="97">
        <f t="shared" si="12"/>
        <v>5462</v>
      </c>
      <c r="Q20" s="97">
        <f t="shared" si="12"/>
        <v>5880</v>
      </c>
      <c r="R20" s="97">
        <f t="shared" si="12"/>
        <v>7105</v>
      </c>
      <c r="S20" s="97">
        <f t="shared" si="12"/>
        <v>8220</v>
      </c>
      <c r="T20" s="97">
        <f t="shared" si="12"/>
        <v>10415</v>
      </c>
      <c r="U20" s="97">
        <f t="shared" si="12"/>
        <v>12815</v>
      </c>
      <c r="V20" s="97">
        <f t="shared" si="12"/>
        <v>15675</v>
      </c>
      <c r="W20" s="97">
        <f t="shared" si="12"/>
        <v>18820</v>
      </c>
      <c r="X20" s="97">
        <f t="shared" si="12"/>
        <v>21578</v>
      </c>
      <c r="Y20" s="97">
        <f t="shared" si="12"/>
        <v>28544</v>
      </c>
    </row>
  </sheetData>
  <autoFilter ref="F34:G43" xr:uid="{DA318EF7-BF21-4C54-9EE2-F1CD6A9BA38E}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3CC8-B951-478F-9C27-DBE16DECFA5A}">
  <dimension ref="A1:AB20"/>
  <sheetViews>
    <sheetView topLeftCell="B1" zoomScale="90" zoomScaleNormal="90" workbookViewId="0">
      <selection activeCell="D29" sqref="D29"/>
    </sheetView>
  </sheetViews>
  <sheetFormatPr defaultColWidth="18.42578125" defaultRowHeight="14.25"/>
  <cols>
    <col min="1" max="4" width="18.42578125" style="103" customWidth="1"/>
    <col min="5" max="5" width="18.42578125" style="105" customWidth="1"/>
    <col min="6" max="7" width="18.42578125" style="80" customWidth="1"/>
    <col min="8" max="16384" width="18.42578125" style="103"/>
  </cols>
  <sheetData>
    <row r="1" spans="1:28" s="102" customFormat="1" ht="36.6" customHeight="1">
      <c r="A1" s="99" t="s">
        <v>141</v>
      </c>
      <c r="B1" s="99" t="s">
        <v>142</v>
      </c>
      <c r="C1" s="99" t="s">
        <v>143</v>
      </c>
      <c r="D1" s="99" t="s">
        <v>144</v>
      </c>
      <c r="E1" s="99" t="s">
        <v>145</v>
      </c>
      <c r="F1" s="99" t="s">
        <v>146</v>
      </c>
      <c r="G1" s="99" t="s">
        <v>147</v>
      </c>
      <c r="H1" s="100" t="s">
        <v>148</v>
      </c>
      <c r="I1" s="100" t="s">
        <v>149</v>
      </c>
      <c r="J1" s="100" t="s">
        <v>150</v>
      </c>
      <c r="K1" s="100" t="s">
        <v>151</v>
      </c>
      <c r="L1" s="100" t="s">
        <v>152</v>
      </c>
      <c r="M1" s="100" t="s">
        <v>153</v>
      </c>
      <c r="N1" s="100" t="s">
        <v>154</v>
      </c>
      <c r="O1" s="100" t="s">
        <v>155</v>
      </c>
      <c r="P1" s="100" t="s">
        <v>156</v>
      </c>
      <c r="Q1" s="100" t="s">
        <v>157</v>
      </c>
      <c r="R1" s="100" t="s">
        <v>158</v>
      </c>
      <c r="S1" s="100" t="s">
        <v>159</v>
      </c>
      <c r="T1" s="100" t="s">
        <v>160</v>
      </c>
      <c r="U1" s="100" t="s">
        <v>161</v>
      </c>
      <c r="V1" s="100" t="s">
        <v>162</v>
      </c>
      <c r="W1" s="100" t="s">
        <v>163</v>
      </c>
      <c r="X1" s="100" t="s">
        <v>164</v>
      </c>
      <c r="Y1" s="100" t="s">
        <v>165</v>
      </c>
      <c r="Z1" s="101" t="s">
        <v>166</v>
      </c>
      <c r="AA1" s="101" t="s">
        <v>167</v>
      </c>
      <c r="AB1" s="101" t="s">
        <v>168</v>
      </c>
    </row>
    <row r="2" spans="1:28" hidden="1">
      <c r="A2" s="77" t="s">
        <v>169</v>
      </c>
      <c r="B2" s="77" t="s">
        <v>170</v>
      </c>
      <c r="C2" s="77" t="s">
        <v>169</v>
      </c>
      <c r="D2" s="77" t="s">
        <v>27</v>
      </c>
      <c r="E2" s="78">
        <v>79316865070</v>
      </c>
      <c r="F2" s="79">
        <v>4</v>
      </c>
      <c r="G2" s="79">
        <v>2036</v>
      </c>
      <c r="H2" s="79">
        <v>0</v>
      </c>
      <c r="I2" s="79">
        <v>0</v>
      </c>
      <c r="J2" s="79">
        <v>0</v>
      </c>
      <c r="K2" s="79">
        <v>0</v>
      </c>
      <c r="L2" s="79">
        <v>0</v>
      </c>
      <c r="M2" s="79">
        <v>0</v>
      </c>
      <c r="N2" s="79">
        <v>0</v>
      </c>
      <c r="O2" s="79">
        <v>0</v>
      </c>
      <c r="P2" s="79">
        <v>0</v>
      </c>
      <c r="Q2" s="79">
        <v>0</v>
      </c>
      <c r="R2" s="79">
        <v>0</v>
      </c>
      <c r="S2" s="79">
        <v>0</v>
      </c>
      <c r="T2" s="79">
        <v>0</v>
      </c>
      <c r="U2" s="79">
        <v>0</v>
      </c>
      <c r="V2" s="79">
        <v>0</v>
      </c>
      <c r="W2" s="79">
        <v>0</v>
      </c>
      <c r="X2" s="79">
        <v>0</v>
      </c>
      <c r="Y2" s="79">
        <v>0</v>
      </c>
      <c r="Z2" s="79">
        <v>0</v>
      </c>
      <c r="AA2" s="79">
        <v>0</v>
      </c>
      <c r="AB2" s="79">
        <v>0</v>
      </c>
    </row>
    <row r="3" spans="1:28" hidden="1">
      <c r="A3" s="77" t="s">
        <v>171</v>
      </c>
      <c r="B3" s="77" t="s">
        <v>170</v>
      </c>
      <c r="C3" s="77" t="s">
        <v>171</v>
      </c>
      <c r="D3" s="77" t="s">
        <v>18</v>
      </c>
      <c r="E3" s="78">
        <v>83008042889</v>
      </c>
      <c r="F3" s="79">
        <v>3</v>
      </c>
      <c r="G3" s="79">
        <v>2295</v>
      </c>
      <c r="H3" s="79">
        <v>0</v>
      </c>
      <c r="I3" s="79">
        <v>0</v>
      </c>
      <c r="J3" s="79">
        <v>0</v>
      </c>
      <c r="K3" s="79">
        <v>0</v>
      </c>
      <c r="L3" s="79">
        <v>0</v>
      </c>
      <c r="M3" s="79">
        <v>0</v>
      </c>
      <c r="N3" s="79">
        <v>0</v>
      </c>
      <c r="O3" s="79">
        <v>0</v>
      </c>
      <c r="P3" s="79">
        <v>0</v>
      </c>
      <c r="Q3" s="79">
        <v>0</v>
      </c>
      <c r="R3" s="79">
        <v>0</v>
      </c>
      <c r="S3" s="79">
        <v>0</v>
      </c>
      <c r="T3" s="79">
        <v>0</v>
      </c>
      <c r="U3" s="79">
        <v>0</v>
      </c>
      <c r="V3" s="79">
        <v>0</v>
      </c>
      <c r="W3" s="79">
        <v>0</v>
      </c>
      <c r="X3" s="79">
        <v>0</v>
      </c>
      <c r="Y3" s="79">
        <v>0</v>
      </c>
      <c r="Z3" s="79">
        <v>0</v>
      </c>
      <c r="AA3" s="79">
        <v>0</v>
      </c>
      <c r="AB3" s="79">
        <v>0</v>
      </c>
    </row>
    <row r="4" spans="1:28" hidden="1">
      <c r="A4" s="77" t="s">
        <v>172</v>
      </c>
      <c r="B4" s="77" t="s">
        <v>78</v>
      </c>
      <c r="C4" s="77" t="s">
        <v>173</v>
      </c>
      <c r="D4" s="77" t="s">
        <v>27</v>
      </c>
      <c r="E4" s="78">
        <v>322709746890</v>
      </c>
      <c r="F4" s="79">
        <v>11.73</v>
      </c>
      <c r="G4" s="79">
        <v>10664</v>
      </c>
      <c r="H4" s="79">
        <v>0</v>
      </c>
      <c r="I4" s="79">
        <v>0</v>
      </c>
      <c r="J4" s="79">
        <v>0</v>
      </c>
      <c r="K4" s="79">
        <v>0</v>
      </c>
      <c r="L4" s="79">
        <v>0</v>
      </c>
      <c r="M4" s="79">
        <v>0</v>
      </c>
      <c r="N4" s="79">
        <v>0</v>
      </c>
      <c r="O4" s="79">
        <v>0</v>
      </c>
      <c r="P4" s="79">
        <v>0</v>
      </c>
      <c r="Q4" s="79">
        <v>0</v>
      </c>
      <c r="R4" s="79">
        <v>0</v>
      </c>
      <c r="S4" s="79">
        <v>0</v>
      </c>
      <c r="T4" s="79">
        <v>0</v>
      </c>
      <c r="U4" s="79">
        <v>0</v>
      </c>
      <c r="V4" s="79">
        <v>0</v>
      </c>
      <c r="W4" s="79">
        <v>0</v>
      </c>
      <c r="X4" s="79">
        <v>0</v>
      </c>
      <c r="Y4" s="79">
        <v>0</v>
      </c>
      <c r="Z4" s="79">
        <v>0</v>
      </c>
      <c r="AA4" s="79">
        <v>0</v>
      </c>
      <c r="AB4" s="79">
        <v>0</v>
      </c>
    </row>
    <row r="5" spans="1:28" ht="39.4">
      <c r="A5" s="77" t="s">
        <v>174</v>
      </c>
      <c r="B5" s="77" t="s">
        <v>76</v>
      </c>
      <c r="C5" s="77" t="s">
        <v>175</v>
      </c>
      <c r="D5" s="77" t="s">
        <v>22</v>
      </c>
      <c r="E5" s="78">
        <v>121589085878</v>
      </c>
      <c r="F5" s="79">
        <v>4.16</v>
      </c>
      <c r="G5" s="79">
        <v>3783</v>
      </c>
      <c r="H5" s="79">
        <v>0</v>
      </c>
      <c r="I5" s="79">
        <v>0</v>
      </c>
      <c r="J5" s="79">
        <v>0</v>
      </c>
      <c r="K5" s="79">
        <v>0</v>
      </c>
      <c r="L5" s="79">
        <v>0</v>
      </c>
      <c r="M5" s="79">
        <v>0</v>
      </c>
      <c r="N5" s="79">
        <v>0</v>
      </c>
      <c r="O5" s="79">
        <v>0</v>
      </c>
      <c r="P5" s="79">
        <v>0</v>
      </c>
      <c r="Q5" s="79">
        <v>0</v>
      </c>
      <c r="R5" s="79">
        <v>0</v>
      </c>
      <c r="S5" s="79">
        <v>0</v>
      </c>
      <c r="T5" s="79">
        <v>0</v>
      </c>
      <c r="U5" s="79">
        <v>0</v>
      </c>
      <c r="V5" s="79">
        <v>0</v>
      </c>
      <c r="W5" s="79">
        <v>0</v>
      </c>
      <c r="X5" s="79">
        <v>0</v>
      </c>
      <c r="Y5" s="79">
        <v>0</v>
      </c>
      <c r="Z5" s="79">
        <v>0</v>
      </c>
      <c r="AA5" s="79">
        <v>0</v>
      </c>
      <c r="AB5" s="79">
        <v>0</v>
      </c>
    </row>
    <row r="6" spans="1:28">
      <c r="A6" s="77" t="s">
        <v>75</v>
      </c>
      <c r="B6" s="77" t="s">
        <v>74</v>
      </c>
      <c r="C6" s="77" t="s">
        <v>75</v>
      </c>
      <c r="D6" s="77" t="s">
        <v>22</v>
      </c>
      <c r="E6" s="78">
        <v>27742028640</v>
      </c>
      <c r="F6" s="79">
        <v>0.95</v>
      </c>
      <c r="G6" s="79">
        <v>862</v>
      </c>
      <c r="H6" s="79">
        <v>0</v>
      </c>
      <c r="I6" s="79">
        <v>0</v>
      </c>
      <c r="J6" s="79">
        <v>0</v>
      </c>
      <c r="K6" s="79">
        <v>0</v>
      </c>
      <c r="L6" s="79">
        <v>0</v>
      </c>
      <c r="M6" s="79">
        <v>0</v>
      </c>
      <c r="N6" s="79">
        <v>0</v>
      </c>
      <c r="O6" s="79">
        <v>0</v>
      </c>
      <c r="P6" s="79">
        <v>0</v>
      </c>
      <c r="Q6" s="79">
        <v>0</v>
      </c>
      <c r="R6" s="79">
        <v>0</v>
      </c>
      <c r="S6" s="79">
        <v>0</v>
      </c>
      <c r="T6" s="79">
        <v>0</v>
      </c>
      <c r="U6" s="79">
        <v>0</v>
      </c>
      <c r="V6" s="79">
        <v>0</v>
      </c>
      <c r="W6" s="79">
        <v>0</v>
      </c>
      <c r="X6" s="79">
        <v>0</v>
      </c>
      <c r="Y6" s="79">
        <v>0</v>
      </c>
      <c r="Z6" s="79">
        <v>0</v>
      </c>
      <c r="AA6" s="79">
        <v>0</v>
      </c>
      <c r="AB6" s="79">
        <v>0</v>
      </c>
    </row>
    <row r="7" spans="1:28">
      <c r="A7" s="77" t="s">
        <v>71</v>
      </c>
      <c r="B7" s="77" t="s">
        <v>70</v>
      </c>
      <c r="C7" s="77" t="s">
        <v>176</v>
      </c>
      <c r="D7" s="77" t="s">
        <v>22</v>
      </c>
      <c r="E7" s="78">
        <v>51087244522</v>
      </c>
      <c r="F7" s="79">
        <v>1.74</v>
      </c>
      <c r="G7" s="79">
        <v>1581</v>
      </c>
      <c r="H7" s="79">
        <v>0</v>
      </c>
      <c r="I7" s="79">
        <v>0</v>
      </c>
      <c r="J7" s="79">
        <v>0</v>
      </c>
      <c r="K7" s="79">
        <v>0</v>
      </c>
      <c r="L7" s="79">
        <v>0</v>
      </c>
      <c r="M7" s="79">
        <v>0</v>
      </c>
      <c r="N7" s="79">
        <v>0</v>
      </c>
      <c r="O7" s="79">
        <v>0</v>
      </c>
      <c r="P7" s="79">
        <v>0</v>
      </c>
      <c r="Q7" s="79">
        <v>0</v>
      </c>
      <c r="R7" s="79">
        <v>0</v>
      </c>
      <c r="S7" s="79">
        <v>0</v>
      </c>
      <c r="T7" s="79">
        <v>0</v>
      </c>
      <c r="U7" s="79">
        <v>0</v>
      </c>
      <c r="V7" s="79">
        <v>0</v>
      </c>
      <c r="W7" s="79">
        <v>0</v>
      </c>
      <c r="X7" s="79">
        <v>0</v>
      </c>
      <c r="Y7" s="79">
        <v>0</v>
      </c>
      <c r="Z7" s="79">
        <v>0</v>
      </c>
      <c r="AA7" s="79">
        <v>0</v>
      </c>
      <c r="AB7" s="79">
        <v>0</v>
      </c>
    </row>
    <row r="8" spans="1:28" ht="65.650000000000006">
      <c r="A8" s="77" t="s">
        <v>177</v>
      </c>
      <c r="B8" s="77" t="s">
        <v>72</v>
      </c>
      <c r="C8" s="77" t="s">
        <v>178</v>
      </c>
      <c r="D8" s="77" t="s">
        <v>22</v>
      </c>
      <c r="E8" s="78">
        <v>37573918087</v>
      </c>
      <c r="F8" s="79">
        <v>1.27</v>
      </c>
      <c r="G8" s="79">
        <v>1158</v>
      </c>
      <c r="H8" s="79">
        <v>0</v>
      </c>
      <c r="I8" s="79">
        <v>0</v>
      </c>
      <c r="J8" s="79">
        <v>0</v>
      </c>
      <c r="K8" s="79">
        <v>0</v>
      </c>
      <c r="L8" s="79">
        <v>0</v>
      </c>
      <c r="M8" s="79">
        <v>0</v>
      </c>
      <c r="N8" s="79">
        <v>0</v>
      </c>
      <c r="O8" s="79">
        <v>0</v>
      </c>
      <c r="P8" s="79">
        <v>0</v>
      </c>
      <c r="Q8" s="79">
        <v>0</v>
      </c>
      <c r="R8" s="79">
        <v>0</v>
      </c>
      <c r="S8" s="79">
        <v>0</v>
      </c>
      <c r="T8" s="79">
        <v>0</v>
      </c>
      <c r="U8" s="79">
        <v>0</v>
      </c>
      <c r="V8" s="79">
        <v>0</v>
      </c>
      <c r="W8" s="79">
        <v>0</v>
      </c>
      <c r="X8" s="79">
        <v>0</v>
      </c>
      <c r="Y8" s="79">
        <v>0</v>
      </c>
      <c r="Z8" s="79">
        <v>0</v>
      </c>
      <c r="AA8" s="79">
        <v>0</v>
      </c>
      <c r="AB8" s="79">
        <v>0</v>
      </c>
    </row>
    <row r="9" spans="1:28">
      <c r="A9" s="77" t="s">
        <v>179</v>
      </c>
      <c r="B9" s="77" t="s">
        <v>72</v>
      </c>
      <c r="C9" s="77" t="s">
        <v>180</v>
      </c>
      <c r="D9" s="77" t="s">
        <v>22</v>
      </c>
      <c r="E9" s="78">
        <v>4402514558</v>
      </c>
      <c r="F9" s="79">
        <v>0.19</v>
      </c>
      <c r="G9" s="79">
        <v>154</v>
      </c>
      <c r="H9" s="79">
        <v>0</v>
      </c>
      <c r="I9" s="79">
        <v>0</v>
      </c>
      <c r="J9" s="79">
        <v>0</v>
      </c>
      <c r="K9" s="79">
        <v>0</v>
      </c>
      <c r="L9" s="79">
        <v>0</v>
      </c>
      <c r="M9" s="79">
        <v>0</v>
      </c>
      <c r="N9" s="79">
        <v>0</v>
      </c>
      <c r="O9" s="79">
        <v>0</v>
      </c>
      <c r="P9" s="79">
        <v>0</v>
      </c>
      <c r="Q9" s="79">
        <v>0</v>
      </c>
      <c r="R9" s="79">
        <v>0</v>
      </c>
      <c r="S9" s="79">
        <v>0</v>
      </c>
      <c r="T9" s="79">
        <v>0</v>
      </c>
      <c r="U9" s="79">
        <v>0</v>
      </c>
      <c r="V9" s="79">
        <v>0</v>
      </c>
      <c r="W9" s="79">
        <v>0</v>
      </c>
      <c r="X9" s="79">
        <v>0</v>
      </c>
      <c r="Y9" s="79">
        <v>0</v>
      </c>
      <c r="Z9" s="79">
        <v>0</v>
      </c>
      <c r="AA9" s="79">
        <v>0</v>
      </c>
      <c r="AB9" s="79">
        <v>0</v>
      </c>
    </row>
    <row r="10" spans="1:28" hidden="1">
      <c r="A10" s="77" t="s">
        <v>181</v>
      </c>
      <c r="B10" s="77" t="s">
        <v>83</v>
      </c>
      <c r="C10" s="77" t="s">
        <v>181</v>
      </c>
      <c r="D10" s="77" t="s">
        <v>18</v>
      </c>
      <c r="E10" s="78">
        <v>31420264769</v>
      </c>
      <c r="F10" s="79">
        <v>1.21</v>
      </c>
      <c r="G10" s="79">
        <v>1003</v>
      </c>
      <c r="H10" s="79">
        <v>0</v>
      </c>
      <c r="I10" s="79">
        <v>0</v>
      </c>
      <c r="J10" s="79">
        <v>0</v>
      </c>
      <c r="K10" s="79">
        <v>0</v>
      </c>
      <c r="L10" s="79">
        <v>0</v>
      </c>
      <c r="M10" s="79">
        <v>0</v>
      </c>
      <c r="N10" s="79">
        <v>0</v>
      </c>
      <c r="O10" s="79">
        <v>0</v>
      </c>
      <c r="P10" s="79">
        <v>0</v>
      </c>
      <c r="Q10" s="79">
        <v>0</v>
      </c>
      <c r="R10" s="79">
        <v>0</v>
      </c>
      <c r="S10" s="79">
        <v>0</v>
      </c>
      <c r="T10" s="79">
        <v>0</v>
      </c>
      <c r="U10" s="79">
        <v>0</v>
      </c>
      <c r="V10" s="79">
        <v>0</v>
      </c>
      <c r="W10" s="79">
        <v>0</v>
      </c>
      <c r="X10" s="79">
        <v>0</v>
      </c>
      <c r="Y10" s="79">
        <v>0</v>
      </c>
      <c r="Z10" s="79">
        <v>0</v>
      </c>
      <c r="AA10" s="79">
        <v>0</v>
      </c>
      <c r="AB10" s="79">
        <v>0</v>
      </c>
    </row>
    <row r="11" spans="1:28" s="104" customFormat="1">
      <c r="A11" s="84" t="s">
        <v>63</v>
      </c>
      <c r="B11" s="84" t="s">
        <v>62</v>
      </c>
      <c r="C11" s="84" t="s">
        <v>182</v>
      </c>
      <c r="D11" s="84" t="s">
        <v>22</v>
      </c>
      <c r="E11" s="85">
        <v>18447808737</v>
      </c>
      <c r="F11" s="86">
        <v>0.76</v>
      </c>
      <c r="G11" s="86">
        <v>623</v>
      </c>
      <c r="H11" s="86">
        <v>40</v>
      </c>
      <c r="I11" s="86">
        <v>65</v>
      </c>
      <c r="J11" s="86">
        <v>75</v>
      </c>
      <c r="K11" s="86">
        <v>0</v>
      </c>
      <c r="L11" s="86">
        <v>0</v>
      </c>
      <c r="M11" s="86">
        <v>0</v>
      </c>
      <c r="N11" s="86">
        <v>0</v>
      </c>
      <c r="O11" s="86">
        <v>0</v>
      </c>
      <c r="P11" s="86">
        <v>0</v>
      </c>
      <c r="Q11" s="86">
        <v>0</v>
      </c>
      <c r="R11" s="86">
        <v>0</v>
      </c>
      <c r="S11" s="86">
        <v>0</v>
      </c>
      <c r="T11" s="86">
        <v>0</v>
      </c>
      <c r="U11" s="86">
        <v>0</v>
      </c>
      <c r="V11" s="86">
        <v>0</v>
      </c>
      <c r="W11" s="86">
        <v>0</v>
      </c>
      <c r="X11" s="86">
        <v>0</v>
      </c>
      <c r="Y11" s="86">
        <v>0</v>
      </c>
      <c r="Z11" s="86">
        <v>0</v>
      </c>
      <c r="AA11" s="86">
        <v>0</v>
      </c>
      <c r="AB11" s="86">
        <v>0</v>
      </c>
    </row>
    <row r="12" spans="1:28">
      <c r="A12" s="77" t="s">
        <v>183</v>
      </c>
      <c r="B12" s="77" t="s">
        <v>62</v>
      </c>
      <c r="C12" s="77" t="s">
        <v>183</v>
      </c>
      <c r="D12" s="77" t="s">
        <v>22</v>
      </c>
      <c r="E12" s="78">
        <v>18114661005</v>
      </c>
      <c r="F12" s="79">
        <v>0.76</v>
      </c>
      <c r="G12" s="79">
        <v>624</v>
      </c>
      <c r="H12" s="79">
        <v>0</v>
      </c>
      <c r="I12" s="79">
        <v>0</v>
      </c>
      <c r="J12" s="79">
        <v>0</v>
      </c>
      <c r="K12" s="79">
        <v>0</v>
      </c>
      <c r="L12" s="79">
        <v>0</v>
      </c>
      <c r="M12" s="79">
        <v>0</v>
      </c>
      <c r="N12" s="79">
        <v>0</v>
      </c>
      <c r="O12" s="79">
        <v>0</v>
      </c>
      <c r="P12" s="79">
        <v>0</v>
      </c>
      <c r="Q12" s="79">
        <v>0</v>
      </c>
      <c r="R12" s="79">
        <v>0</v>
      </c>
      <c r="S12" s="79">
        <v>0</v>
      </c>
      <c r="T12" s="79">
        <v>0</v>
      </c>
      <c r="U12" s="79">
        <v>0</v>
      </c>
      <c r="V12" s="79">
        <v>0</v>
      </c>
      <c r="W12" s="79">
        <v>0</v>
      </c>
      <c r="X12" s="79">
        <v>0</v>
      </c>
      <c r="Y12" s="79">
        <v>0</v>
      </c>
      <c r="Z12" s="79">
        <v>0</v>
      </c>
      <c r="AA12" s="79">
        <v>0</v>
      </c>
      <c r="AB12" s="79">
        <v>0</v>
      </c>
    </row>
    <row r="13" spans="1:28" hidden="1">
      <c r="A13" s="77" t="s">
        <v>85</v>
      </c>
      <c r="B13" s="77" t="s">
        <v>78</v>
      </c>
      <c r="C13" s="77" t="s">
        <v>85</v>
      </c>
      <c r="D13" s="77" t="s">
        <v>18</v>
      </c>
      <c r="E13" s="78">
        <v>30713269905</v>
      </c>
      <c r="F13" s="79">
        <v>1.2</v>
      </c>
      <c r="G13" s="79">
        <v>1000</v>
      </c>
      <c r="H13" s="79">
        <v>0</v>
      </c>
      <c r="I13" s="79">
        <v>0</v>
      </c>
      <c r="J13" s="79">
        <v>0</v>
      </c>
      <c r="K13" s="79">
        <v>0</v>
      </c>
      <c r="L13" s="79">
        <v>0</v>
      </c>
      <c r="M13" s="79">
        <v>0</v>
      </c>
      <c r="N13" s="79">
        <v>0</v>
      </c>
      <c r="O13" s="79">
        <v>0</v>
      </c>
      <c r="P13" s="79">
        <v>0</v>
      </c>
      <c r="Q13" s="79">
        <v>0</v>
      </c>
      <c r="R13" s="79">
        <v>0</v>
      </c>
      <c r="S13" s="79">
        <v>0</v>
      </c>
      <c r="T13" s="79">
        <v>0</v>
      </c>
      <c r="U13" s="79">
        <v>0</v>
      </c>
      <c r="V13" s="79">
        <v>0</v>
      </c>
      <c r="W13" s="79">
        <v>0</v>
      </c>
      <c r="X13" s="79">
        <v>0</v>
      </c>
      <c r="Y13" s="79">
        <v>0</v>
      </c>
      <c r="Z13" s="79">
        <v>0</v>
      </c>
      <c r="AA13" s="79">
        <v>0</v>
      </c>
      <c r="AB13" s="79">
        <v>0</v>
      </c>
    </row>
    <row r="14" spans="1:28" hidden="1">
      <c r="A14" s="77" t="s">
        <v>184</v>
      </c>
      <c r="B14" s="77" t="s">
        <v>86</v>
      </c>
      <c r="C14" s="77" t="s">
        <v>184</v>
      </c>
      <c r="D14" s="77" t="s">
        <v>18</v>
      </c>
      <c r="E14" s="78">
        <v>6880380834</v>
      </c>
      <c r="F14" s="79">
        <v>0.31</v>
      </c>
      <c r="G14" s="79">
        <v>217</v>
      </c>
      <c r="H14" s="79">
        <v>0</v>
      </c>
      <c r="I14" s="79">
        <v>0</v>
      </c>
      <c r="J14" s="79">
        <v>0</v>
      </c>
      <c r="K14" s="79">
        <v>0</v>
      </c>
      <c r="L14" s="79">
        <v>0</v>
      </c>
      <c r="M14" s="79">
        <v>0</v>
      </c>
      <c r="N14" s="79">
        <v>0</v>
      </c>
      <c r="O14" s="79">
        <v>0</v>
      </c>
      <c r="P14" s="79">
        <v>0</v>
      </c>
      <c r="Q14" s="79">
        <v>0</v>
      </c>
      <c r="R14" s="79">
        <v>0</v>
      </c>
      <c r="S14" s="79">
        <v>0</v>
      </c>
      <c r="T14" s="79">
        <v>0</v>
      </c>
      <c r="U14" s="79">
        <v>0</v>
      </c>
      <c r="V14" s="79">
        <v>0</v>
      </c>
      <c r="W14" s="79">
        <v>0</v>
      </c>
      <c r="X14" s="79">
        <v>0</v>
      </c>
      <c r="Y14" s="79">
        <v>0</v>
      </c>
      <c r="Z14" s="79">
        <v>0</v>
      </c>
      <c r="AA14" s="79">
        <v>0</v>
      </c>
      <c r="AB14" s="79">
        <v>0</v>
      </c>
    </row>
    <row r="15" spans="1:28" hidden="1">
      <c r="A15" s="77" t="s">
        <v>185</v>
      </c>
      <c r="B15" s="77" t="s">
        <v>86</v>
      </c>
      <c r="C15" s="77" t="s">
        <v>185</v>
      </c>
      <c r="D15" s="77" t="s">
        <v>18</v>
      </c>
      <c r="E15" s="78">
        <v>22802905997</v>
      </c>
      <c r="F15" s="79">
        <v>0.72</v>
      </c>
      <c r="G15" s="79">
        <v>719</v>
      </c>
      <c r="H15" s="79">
        <v>0</v>
      </c>
      <c r="I15" s="79">
        <v>0</v>
      </c>
      <c r="J15" s="79">
        <v>0</v>
      </c>
      <c r="K15" s="79">
        <v>0</v>
      </c>
      <c r="L15" s="79">
        <v>0</v>
      </c>
      <c r="M15" s="79">
        <v>0</v>
      </c>
      <c r="N15" s="79">
        <v>0</v>
      </c>
      <c r="O15" s="79">
        <v>0</v>
      </c>
      <c r="P15" s="79">
        <v>0</v>
      </c>
      <c r="Q15" s="79">
        <v>0</v>
      </c>
      <c r="R15" s="79">
        <v>0</v>
      </c>
      <c r="S15" s="79">
        <v>0</v>
      </c>
      <c r="T15" s="79">
        <v>0</v>
      </c>
      <c r="U15" s="79">
        <v>0</v>
      </c>
      <c r="V15" s="79">
        <v>0</v>
      </c>
      <c r="W15" s="79">
        <v>0</v>
      </c>
      <c r="X15" s="79">
        <v>0</v>
      </c>
      <c r="Y15" s="79">
        <v>0</v>
      </c>
      <c r="Z15" s="79">
        <v>0</v>
      </c>
      <c r="AA15" s="79">
        <v>0</v>
      </c>
      <c r="AB15" s="79">
        <v>0</v>
      </c>
    </row>
    <row r="16" spans="1:28" hidden="1">
      <c r="A16" s="77" t="s">
        <v>186</v>
      </c>
      <c r="B16" s="77" t="s">
        <v>86</v>
      </c>
      <c r="C16" s="77" t="s">
        <v>186</v>
      </c>
      <c r="D16" s="77" t="s">
        <v>18</v>
      </c>
      <c r="E16" s="78">
        <v>9349545113</v>
      </c>
      <c r="F16" s="79">
        <v>0.42</v>
      </c>
      <c r="G16" s="79">
        <v>293</v>
      </c>
      <c r="H16" s="79">
        <v>0</v>
      </c>
      <c r="I16" s="79">
        <v>0</v>
      </c>
      <c r="J16" s="79">
        <v>0</v>
      </c>
      <c r="K16" s="79">
        <v>0</v>
      </c>
      <c r="L16" s="79">
        <v>0</v>
      </c>
      <c r="M16" s="79">
        <v>0</v>
      </c>
      <c r="N16" s="79">
        <v>0</v>
      </c>
      <c r="O16" s="79">
        <v>0</v>
      </c>
      <c r="P16" s="79">
        <v>0</v>
      </c>
      <c r="Q16" s="79">
        <v>0</v>
      </c>
      <c r="R16" s="79">
        <v>0</v>
      </c>
      <c r="S16" s="79">
        <v>0</v>
      </c>
      <c r="T16" s="79">
        <v>0</v>
      </c>
      <c r="U16" s="79">
        <v>0</v>
      </c>
      <c r="V16" s="79">
        <v>0</v>
      </c>
      <c r="W16" s="79">
        <v>0</v>
      </c>
      <c r="X16" s="79">
        <v>0</v>
      </c>
      <c r="Y16" s="79">
        <v>0</v>
      </c>
      <c r="Z16" s="79">
        <v>0</v>
      </c>
      <c r="AA16" s="79">
        <v>0</v>
      </c>
      <c r="AB16" s="79">
        <v>0</v>
      </c>
    </row>
    <row r="17" spans="1:28" hidden="1">
      <c r="A17" s="77" t="s">
        <v>187</v>
      </c>
      <c r="B17" s="77" t="s">
        <v>86</v>
      </c>
      <c r="C17" s="77" t="s">
        <v>187</v>
      </c>
      <c r="D17" s="77" t="s">
        <v>18</v>
      </c>
      <c r="E17" s="78">
        <v>24764667070</v>
      </c>
      <c r="F17" s="79">
        <v>1.1000000000000001</v>
      </c>
      <c r="G17" s="79">
        <v>777</v>
      </c>
      <c r="H17" s="79">
        <v>0</v>
      </c>
      <c r="I17" s="79">
        <v>0</v>
      </c>
      <c r="J17" s="79">
        <v>0</v>
      </c>
      <c r="K17" s="79">
        <v>0</v>
      </c>
      <c r="L17" s="79">
        <v>0</v>
      </c>
      <c r="M17" s="79">
        <v>0</v>
      </c>
      <c r="N17" s="79">
        <v>0</v>
      </c>
      <c r="O17" s="79">
        <v>0</v>
      </c>
      <c r="P17" s="79">
        <v>0</v>
      </c>
      <c r="Q17" s="79">
        <v>0</v>
      </c>
      <c r="R17" s="79">
        <v>0</v>
      </c>
      <c r="S17" s="79">
        <v>0</v>
      </c>
      <c r="T17" s="79">
        <v>0</v>
      </c>
      <c r="U17" s="79">
        <v>0</v>
      </c>
      <c r="V17" s="79">
        <v>0</v>
      </c>
      <c r="W17" s="79">
        <v>0</v>
      </c>
      <c r="X17" s="79">
        <v>0</v>
      </c>
      <c r="Y17" s="79">
        <v>0</v>
      </c>
      <c r="Z17" s="79">
        <v>0</v>
      </c>
      <c r="AA17" s="79">
        <v>0</v>
      </c>
      <c r="AB17" s="79">
        <v>0</v>
      </c>
    </row>
    <row r="18" spans="1:28" hidden="1">
      <c r="A18" s="77" t="s">
        <v>188</v>
      </c>
      <c r="B18" s="77" t="s">
        <v>189</v>
      </c>
      <c r="C18" s="77" t="s">
        <v>188</v>
      </c>
      <c r="D18" s="77" t="s">
        <v>18</v>
      </c>
      <c r="E18" s="78">
        <v>24437339433</v>
      </c>
      <c r="F18" s="79">
        <v>1.52</v>
      </c>
      <c r="G18" s="79">
        <v>755</v>
      </c>
      <c r="H18" s="79">
        <v>0</v>
      </c>
      <c r="I18" s="79">
        <v>0</v>
      </c>
      <c r="J18" s="79">
        <v>0</v>
      </c>
      <c r="K18" s="79">
        <v>0</v>
      </c>
      <c r="L18" s="79">
        <v>0</v>
      </c>
      <c r="M18" s="79">
        <v>0</v>
      </c>
      <c r="N18" s="79">
        <v>0</v>
      </c>
      <c r="O18" s="79">
        <v>0</v>
      </c>
      <c r="P18" s="79">
        <v>0</v>
      </c>
      <c r="Q18" s="79">
        <v>0</v>
      </c>
      <c r="R18" s="79">
        <v>0</v>
      </c>
      <c r="S18" s="79">
        <v>0</v>
      </c>
      <c r="T18" s="79">
        <v>0</v>
      </c>
      <c r="U18" s="79">
        <v>0</v>
      </c>
      <c r="V18" s="79">
        <v>0</v>
      </c>
      <c r="W18" s="79">
        <v>0</v>
      </c>
      <c r="X18" s="79">
        <v>0</v>
      </c>
      <c r="Y18" s="79">
        <v>0</v>
      </c>
      <c r="Z18" s="79">
        <v>0</v>
      </c>
      <c r="AA18" s="79">
        <v>0</v>
      </c>
      <c r="AB18" s="79">
        <v>0</v>
      </c>
    </row>
    <row r="20" spans="1:28">
      <c r="H20" s="80">
        <f>SUM(H2:H19)</f>
        <v>40</v>
      </c>
      <c r="I20" s="80">
        <f t="shared" ref="I20:Y20" si="0">SUM(I2:I19)</f>
        <v>65</v>
      </c>
      <c r="J20" s="80">
        <f t="shared" si="0"/>
        <v>75</v>
      </c>
      <c r="K20" s="80">
        <f t="shared" si="0"/>
        <v>0</v>
      </c>
      <c r="L20" s="80">
        <f t="shared" si="0"/>
        <v>0</v>
      </c>
      <c r="M20" s="80">
        <f t="shared" si="0"/>
        <v>0</v>
      </c>
      <c r="N20" s="80">
        <f t="shared" si="0"/>
        <v>0</v>
      </c>
      <c r="O20" s="80">
        <f t="shared" si="0"/>
        <v>0</v>
      </c>
      <c r="P20" s="80">
        <f t="shared" si="0"/>
        <v>0</v>
      </c>
      <c r="Q20" s="80">
        <f t="shared" si="0"/>
        <v>0</v>
      </c>
      <c r="R20" s="80">
        <f t="shared" si="0"/>
        <v>0</v>
      </c>
      <c r="S20" s="80">
        <f t="shared" si="0"/>
        <v>0</v>
      </c>
      <c r="T20" s="80">
        <f t="shared" si="0"/>
        <v>0</v>
      </c>
      <c r="U20" s="80">
        <f t="shared" si="0"/>
        <v>0</v>
      </c>
      <c r="V20" s="80">
        <f t="shared" si="0"/>
        <v>0</v>
      </c>
      <c r="W20" s="80">
        <f t="shared" si="0"/>
        <v>0</v>
      </c>
      <c r="X20" s="80">
        <f t="shared" si="0"/>
        <v>0</v>
      </c>
      <c r="Y20" s="80">
        <f t="shared" si="0"/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9F99C-0025-4DA1-ADB8-2B3983DFE43C}">
  <dimension ref="C2:DK35"/>
  <sheetViews>
    <sheetView workbookViewId="0">
      <pane xSplit="2" ySplit="3" topLeftCell="C4" activePane="bottomRight" state="frozen"/>
      <selection pane="bottomRight" activeCell="L12" sqref="L12"/>
      <selection pane="bottomLeft" activeCell="A4" sqref="A4"/>
      <selection pane="topRight" activeCell="C1" sqref="C1"/>
    </sheetView>
  </sheetViews>
  <sheetFormatPr defaultColWidth="11.42578125" defaultRowHeight="14.25"/>
  <cols>
    <col min="1" max="1" width="3.42578125" customWidth="1"/>
    <col min="2" max="2" width="4.28515625" customWidth="1"/>
    <col min="3" max="3" width="12.5703125" bestFit="1" customWidth="1"/>
    <col min="4" max="4" width="26.28515625" customWidth="1"/>
    <col min="5" max="5" width="16.42578125" customWidth="1"/>
    <col min="6" max="6" width="14.85546875" customWidth="1"/>
    <col min="7" max="7" width="14" customWidth="1"/>
    <col min="8" max="8" width="15.42578125" customWidth="1"/>
    <col min="9" max="17" width="5.5703125" bestFit="1" customWidth="1"/>
    <col min="18" max="39" width="6.5703125" bestFit="1" customWidth="1"/>
    <col min="40" max="48" width="4.85546875" bestFit="1" customWidth="1"/>
    <col min="49" max="69" width="5.85546875" bestFit="1" customWidth="1"/>
    <col min="70" max="78" width="4.28515625" bestFit="1" customWidth="1"/>
    <col min="79" max="100" width="5.28515625" bestFit="1" customWidth="1"/>
    <col min="101" max="109" width="5.140625" bestFit="1" customWidth="1"/>
    <col min="110" max="115" width="6.140625" bestFit="1" customWidth="1"/>
  </cols>
  <sheetData>
    <row r="2" spans="3:115">
      <c r="C2" s="108" t="s">
        <v>190</v>
      </c>
      <c r="D2" s="108"/>
      <c r="E2" s="108"/>
      <c r="F2" s="108"/>
      <c r="G2" s="108"/>
      <c r="H2" s="7"/>
      <c r="I2" s="108" t="s">
        <v>191</v>
      </c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9" t="s">
        <v>192</v>
      </c>
      <c r="AN2" s="108"/>
      <c r="AO2" s="108"/>
      <c r="AP2" s="108"/>
      <c r="AQ2" s="108"/>
      <c r="AR2" s="108"/>
      <c r="AS2" s="108"/>
      <c r="AT2" s="108"/>
      <c r="AU2" s="108"/>
      <c r="AV2" s="108"/>
      <c r="AW2" s="108"/>
      <c r="AX2" s="108"/>
      <c r="AY2" s="108"/>
      <c r="AZ2" s="108"/>
      <c r="BA2" s="108"/>
      <c r="BB2" s="108"/>
      <c r="BC2" s="108"/>
      <c r="BD2" s="108"/>
      <c r="BE2" s="108"/>
      <c r="BF2" s="108"/>
      <c r="BG2" s="108"/>
      <c r="BH2" s="108"/>
      <c r="BI2" s="108"/>
      <c r="BJ2" s="108"/>
      <c r="BK2" s="108"/>
      <c r="BL2" s="108"/>
      <c r="BM2" s="108"/>
      <c r="BN2" s="108"/>
      <c r="BO2" s="108"/>
      <c r="BP2" s="108"/>
      <c r="BQ2" s="108"/>
      <c r="BR2" s="108" t="s">
        <v>193</v>
      </c>
      <c r="BS2" s="108"/>
      <c r="BT2" s="108"/>
      <c r="BU2" s="108"/>
      <c r="BV2" s="108"/>
      <c r="BW2" s="108"/>
      <c r="BX2" s="108"/>
      <c r="BY2" s="108"/>
      <c r="BZ2" s="108"/>
      <c r="CA2" s="108"/>
      <c r="CB2" s="108"/>
      <c r="CC2" s="108"/>
      <c r="CD2" s="108"/>
      <c r="CE2" s="108"/>
      <c r="CF2" s="108"/>
      <c r="CG2" s="108"/>
      <c r="CH2" s="108"/>
      <c r="CI2" s="108"/>
      <c r="CJ2" s="108"/>
      <c r="CK2" s="108"/>
      <c r="CL2" s="108"/>
      <c r="CM2" s="108"/>
      <c r="CN2" s="108"/>
      <c r="CO2" s="108"/>
      <c r="CP2" s="108"/>
      <c r="CQ2" s="108"/>
      <c r="CR2" s="108"/>
      <c r="CS2" s="108"/>
      <c r="CT2" s="108"/>
      <c r="CU2" s="108"/>
      <c r="CV2" s="108"/>
    </row>
    <row r="3" spans="3:115">
      <c r="C3" s="8" t="s">
        <v>127</v>
      </c>
      <c r="D3" s="8" t="s">
        <v>50</v>
      </c>
      <c r="E3" s="8" t="s">
        <v>194</v>
      </c>
      <c r="F3" s="8" t="s">
        <v>195</v>
      </c>
      <c r="G3" s="8" t="s">
        <v>196</v>
      </c>
      <c r="H3" s="8" t="s">
        <v>197</v>
      </c>
      <c r="I3" s="9">
        <v>46143</v>
      </c>
      <c r="J3" s="9">
        <v>46144</v>
      </c>
      <c r="K3" s="9">
        <v>46145</v>
      </c>
      <c r="L3" s="9">
        <v>46146</v>
      </c>
      <c r="M3" s="9">
        <v>46147</v>
      </c>
      <c r="N3" s="9">
        <v>46148</v>
      </c>
      <c r="O3" s="9">
        <v>46149</v>
      </c>
      <c r="P3" s="9">
        <v>46150</v>
      </c>
      <c r="Q3" s="9">
        <v>46151</v>
      </c>
      <c r="R3" s="9">
        <v>46152</v>
      </c>
      <c r="S3" s="9">
        <v>46153</v>
      </c>
      <c r="T3" s="9">
        <v>46154</v>
      </c>
      <c r="U3" s="9">
        <v>46155</v>
      </c>
      <c r="V3" s="9">
        <v>46156</v>
      </c>
      <c r="W3" s="9">
        <v>46157</v>
      </c>
      <c r="X3" s="9">
        <v>46158</v>
      </c>
      <c r="Y3" s="9">
        <v>46159</v>
      </c>
      <c r="Z3" s="9">
        <v>46160</v>
      </c>
      <c r="AA3" s="9">
        <v>46161</v>
      </c>
      <c r="AB3" s="9">
        <v>46162</v>
      </c>
      <c r="AC3" s="9">
        <v>46163</v>
      </c>
      <c r="AD3" s="9">
        <v>46164</v>
      </c>
      <c r="AE3" s="9">
        <v>46165</v>
      </c>
      <c r="AF3" s="9">
        <v>46166</v>
      </c>
      <c r="AG3" s="9">
        <v>46167</v>
      </c>
      <c r="AH3" s="9">
        <v>46168</v>
      </c>
      <c r="AI3" s="9">
        <v>46169</v>
      </c>
      <c r="AJ3" s="9">
        <v>46170</v>
      </c>
      <c r="AK3" s="9">
        <v>46171</v>
      </c>
      <c r="AL3" s="9">
        <v>46172</v>
      </c>
      <c r="AM3" s="9">
        <v>46173</v>
      </c>
      <c r="AN3" s="10">
        <v>46174</v>
      </c>
      <c r="AO3" s="10">
        <v>46175</v>
      </c>
      <c r="AP3" s="10">
        <v>46176</v>
      </c>
      <c r="AQ3" s="10">
        <v>46177</v>
      </c>
      <c r="AR3" s="10">
        <v>46178</v>
      </c>
      <c r="AS3" s="10">
        <v>46179</v>
      </c>
      <c r="AT3" s="10">
        <v>46180</v>
      </c>
      <c r="AU3" s="10">
        <v>46181</v>
      </c>
      <c r="AV3" s="10">
        <v>46182</v>
      </c>
      <c r="AW3" s="10">
        <v>46183</v>
      </c>
      <c r="AX3" s="10">
        <v>46184</v>
      </c>
      <c r="AY3" s="10">
        <v>46185</v>
      </c>
      <c r="AZ3" s="10">
        <v>46186</v>
      </c>
      <c r="BA3" s="10">
        <v>46187</v>
      </c>
      <c r="BB3" s="10">
        <v>46188</v>
      </c>
      <c r="BC3" s="10">
        <v>46189</v>
      </c>
      <c r="BD3" s="10">
        <v>46190</v>
      </c>
      <c r="BE3" s="10">
        <v>46191</v>
      </c>
      <c r="BF3" s="10">
        <v>46192</v>
      </c>
      <c r="BG3" s="10">
        <v>46193</v>
      </c>
      <c r="BH3" s="10">
        <v>46194</v>
      </c>
      <c r="BI3" s="10">
        <v>46195</v>
      </c>
      <c r="BJ3" s="10">
        <v>46196</v>
      </c>
      <c r="BK3" s="10">
        <v>46197</v>
      </c>
      <c r="BL3" s="10">
        <v>46198</v>
      </c>
      <c r="BM3" s="10">
        <v>46199</v>
      </c>
      <c r="BN3" s="10">
        <v>46200</v>
      </c>
      <c r="BO3" s="10">
        <v>46201</v>
      </c>
      <c r="BP3" s="10">
        <v>46202</v>
      </c>
      <c r="BQ3" s="10">
        <v>46203</v>
      </c>
      <c r="BR3" s="11">
        <v>46204</v>
      </c>
      <c r="BS3" s="11">
        <v>46205</v>
      </c>
      <c r="BT3" s="11">
        <v>46206</v>
      </c>
      <c r="BU3" s="11">
        <v>46207</v>
      </c>
      <c r="BV3" s="11">
        <v>46208</v>
      </c>
      <c r="BW3" s="11">
        <v>46209</v>
      </c>
      <c r="BX3" s="11">
        <v>46210</v>
      </c>
      <c r="BY3" s="11">
        <v>46211</v>
      </c>
      <c r="BZ3" s="11">
        <v>46212</v>
      </c>
      <c r="CA3" s="11">
        <v>46213</v>
      </c>
      <c r="CB3" s="11">
        <v>46214</v>
      </c>
      <c r="CC3" s="11">
        <v>46215</v>
      </c>
      <c r="CD3" s="11">
        <v>46216</v>
      </c>
      <c r="CE3" s="11">
        <v>46217</v>
      </c>
      <c r="CF3" s="11">
        <v>46218</v>
      </c>
      <c r="CG3" s="11">
        <v>46219</v>
      </c>
      <c r="CH3" s="11">
        <v>46220</v>
      </c>
      <c r="CI3" s="11">
        <v>46221</v>
      </c>
      <c r="CJ3" s="11">
        <v>46222</v>
      </c>
      <c r="CK3" s="11">
        <v>46223</v>
      </c>
      <c r="CL3" s="11">
        <v>46224</v>
      </c>
      <c r="CM3" s="11">
        <v>46225</v>
      </c>
      <c r="CN3" s="11">
        <v>46226</v>
      </c>
      <c r="CO3" s="11">
        <v>46227</v>
      </c>
      <c r="CP3" s="11">
        <v>46228</v>
      </c>
      <c r="CQ3" s="11">
        <v>46229</v>
      </c>
      <c r="CR3" s="11">
        <v>46230</v>
      </c>
      <c r="CS3" s="11">
        <v>46231</v>
      </c>
      <c r="CT3" s="11">
        <v>46232</v>
      </c>
      <c r="CU3" s="11">
        <v>46233</v>
      </c>
      <c r="CV3" s="11">
        <v>46234</v>
      </c>
      <c r="CW3" s="23">
        <v>46235</v>
      </c>
      <c r="CX3" s="23">
        <v>46236</v>
      </c>
      <c r="CY3" s="23">
        <v>46237</v>
      </c>
      <c r="CZ3" s="23">
        <v>46238</v>
      </c>
      <c r="DA3" s="23">
        <v>46239</v>
      </c>
      <c r="DB3" s="23">
        <v>46240</v>
      </c>
      <c r="DC3" s="23">
        <v>46241</v>
      </c>
      <c r="DD3" s="23">
        <v>46242</v>
      </c>
      <c r="DE3" s="23">
        <v>46243</v>
      </c>
      <c r="DF3" s="23">
        <v>46244</v>
      </c>
      <c r="DG3" s="23">
        <v>46245</v>
      </c>
      <c r="DH3" s="23">
        <v>46246</v>
      </c>
      <c r="DI3" s="23">
        <v>46247</v>
      </c>
      <c r="DJ3" s="23">
        <v>46248</v>
      </c>
      <c r="DK3" s="23">
        <v>46249</v>
      </c>
    </row>
    <row r="4" spans="3:115">
      <c r="C4" t="s">
        <v>61</v>
      </c>
      <c r="D4" t="s">
        <v>63</v>
      </c>
      <c r="E4" s="1">
        <f>SUM(I4:AM4)</f>
        <v>180</v>
      </c>
      <c r="F4" s="1">
        <f>SUM(AN4:BQ4)</f>
        <v>0</v>
      </c>
      <c r="G4" s="1">
        <f>SUM(BR4:CV4)</f>
        <v>0</v>
      </c>
      <c r="H4" s="1">
        <f>SUM(CW4:DK4)</f>
        <v>0</v>
      </c>
      <c r="I4">
        <v>23</v>
      </c>
      <c r="O4">
        <f>180-I4</f>
        <v>157</v>
      </c>
    </row>
    <row r="5" spans="3:115">
      <c r="C5" t="s">
        <v>61</v>
      </c>
      <c r="D5" t="s">
        <v>69</v>
      </c>
      <c r="E5" s="1">
        <f t="shared" ref="E5:E9" si="0">SUM(I5:AM5)</f>
        <v>0</v>
      </c>
      <c r="F5" s="1">
        <f t="shared" ref="F5:F35" si="1">SUM(AN5:BQ5)</f>
        <v>0</v>
      </c>
      <c r="G5" s="1">
        <f t="shared" ref="G5:G35" si="2">SUM(BR5:CV5)</f>
        <v>0</v>
      </c>
      <c r="H5" s="1">
        <f t="shared" ref="H5:H35" si="3">SUM(CW5:DK5)</f>
        <v>0</v>
      </c>
    </row>
    <row r="6" spans="3:115">
      <c r="C6" t="s">
        <v>61</v>
      </c>
      <c r="D6" s="4" t="s">
        <v>71</v>
      </c>
      <c r="E6" s="1">
        <f t="shared" si="0"/>
        <v>0</v>
      </c>
      <c r="F6" s="1">
        <f t="shared" si="1"/>
        <v>0</v>
      </c>
      <c r="G6" s="1">
        <f t="shared" si="2"/>
        <v>0</v>
      </c>
      <c r="H6" s="1">
        <f t="shared" si="3"/>
        <v>0</v>
      </c>
    </row>
    <row r="7" spans="3:115">
      <c r="C7" t="s">
        <v>61</v>
      </c>
      <c r="D7" s="4" t="s">
        <v>72</v>
      </c>
      <c r="E7" s="1">
        <f t="shared" si="0"/>
        <v>0</v>
      </c>
      <c r="F7" s="1">
        <f t="shared" si="1"/>
        <v>0</v>
      </c>
      <c r="G7" s="1">
        <f t="shared" si="2"/>
        <v>0</v>
      </c>
      <c r="H7" s="1">
        <f t="shared" si="3"/>
        <v>0</v>
      </c>
    </row>
    <row r="8" spans="3:115">
      <c r="C8" t="s">
        <v>61</v>
      </c>
      <c r="D8" s="4" t="s">
        <v>73</v>
      </c>
      <c r="E8" s="1">
        <f t="shared" si="0"/>
        <v>0</v>
      </c>
      <c r="F8" s="1">
        <f t="shared" si="1"/>
        <v>0</v>
      </c>
      <c r="G8" s="1">
        <f t="shared" si="2"/>
        <v>0</v>
      </c>
      <c r="H8" s="1">
        <f t="shared" si="3"/>
        <v>0</v>
      </c>
    </row>
    <row r="9" spans="3:115">
      <c r="C9" t="s">
        <v>61</v>
      </c>
      <c r="D9" s="4" t="s">
        <v>74</v>
      </c>
      <c r="E9" s="1">
        <f t="shared" si="0"/>
        <v>0</v>
      </c>
      <c r="F9" s="1">
        <f t="shared" si="1"/>
        <v>0</v>
      </c>
      <c r="G9" s="1">
        <f t="shared" si="2"/>
        <v>0</v>
      </c>
      <c r="H9" s="1">
        <f t="shared" si="3"/>
        <v>0</v>
      </c>
    </row>
    <row r="10" spans="3:115">
      <c r="C10" t="s">
        <v>61</v>
      </c>
      <c r="D10" t="s">
        <v>76</v>
      </c>
      <c r="E10" s="1">
        <f t="shared" ref="E10:E35" si="4">SUM(I10:AM10)</f>
        <v>0</v>
      </c>
      <c r="F10" s="1">
        <f t="shared" si="1"/>
        <v>0</v>
      </c>
      <c r="G10" s="1">
        <f t="shared" si="2"/>
        <v>0</v>
      </c>
      <c r="H10" s="1">
        <f t="shared" si="3"/>
        <v>0</v>
      </c>
    </row>
    <row r="11" spans="3:115">
      <c r="C11" t="s">
        <v>77</v>
      </c>
      <c r="D11" t="s">
        <v>79</v>
      </c>
      <c r="E11" s="1">
        <f t="shared" si="4"/>
        <v>0</v>
      </c>
      <c r="F11" s="1">
        <f t="shared" si="1"/>
        <v>0</v>
      </c>
      <c r="G11" s="1">
        <f t="shared" si="2"/>
        <v>0</v>
      </c>
      <c r="H11" s="1">
        <f t="shared" si="3"/>
        <v>0</v>
      </c>
    </row>
    <row r="12" spans="3:115">
      <c r="C12" t="s">
        <v>80</v>
      </c>
      <c r="D12" t="s">
        <v>82</v>
      </c>
      <c r="E12" s="1">
        <f t="shared" si="4"/>
        <v>0</v>
      </c>
      <c r="F12" s="1">
        <f t="shared" si="1"/>
        <v>0</v>
      </c>
      <c r="G12" s="1">
        <f t="shared" si="2"/>
        <v>0</v>
      </c>
      <c r="H12" s="1">
        <f t="shared" si="3"/>
        <v>0</v>
      </c>
    </row>
    <row r="13" spans="3:115">
      <c r="C13" t="s">
        <v>80</v>
      </c>
      <c r="D13" t="s">
        <v>84</v>
      </c>
      <c r="E13" s="1">
        <f t="shared" si="4"/>
        <v>0</v>
      </c>
      <c r="F13" s="1">
        <f t="shared" si="1"/>
        <v>0</v>
      </c>
      <c r="G13" s="1">
        <f t="shared" si="2"/>
        <v>0</v>
      </c>
      <c r="H13" s="1">
        <f t="shared" si="3"/>
        <v>0</v>
      </c>
    </row>
    <row r="14" spans="3:115">
      <c r="C14" t="s">
        <v>80</v>
      </c>
      <c r="D14" t="s">
        <v>85</v>
      </c>
      <c r="E14" s="1">
        <f t="shared" si="4"/>
        <v>0</v>
      </c>
      <c r="F14" s="1">
        <f t="shared" si="1"/>
        <v>0</v>
      </c>
      <c r="G14" s="1">
        <f t="shared" si="2"/>
        <v>0</v>
      </c>
      <c r="H14" s="1">
        <f t="shared" si="3"/>
        <v>0</v>
      </c>
    </row>
    <row r="15" spans="3:115" ht="42.75">
      <c r="C15" t="s">
        <v>80</v>
      </c>
      <c r="D15" s="4" t="s">
        <v>87</v>
      </c>
      <c r="E15" s="1">
        <f t="shared" si="4"/>
        <v>0</v>
      </c>
      <c r="F15" s="1">
        <f t="shared" si="1"/>
        <v>0</v>
      </c>
      <c r="G15" s="1">
        <f t="shared" si="2"/>
        <v>0</v>
      </c>
      <c r="H15" s="1">
        <f t="shared" si="3"/>
        <v>0</v>
      </c>
    </row>
    <row r="16" spans="3:115">
      <c r="C16" t="s">
        <v>88</v>
      </c>
      <c r="D16" t="s">
        <v>90</v>
      </c>
      <c r="E16" s="1">
        <f t="shared" si="4"/>
        <v>12</v>
      </c>
      <c r="F16" s="1">
        <f t="shared" si="1"/>
        <v>0</v>
      </c>
      <c r="G16" s="1">
        <f t="shared" si="2"/>
        <v>0</v>
      </c>
      <c r="H16" s="1">
        <f t="shared" si="3"/>
        <v>0</v>
      </c>
      <c r="O16">
        <v>12</v>
      </c>
    </row>
    <row r="17" spans="3:8">
      <c r="C17" t="s">
        <v>92</v>
      </c>
      <c r="D17" t="s">
        <v>93</v>
      </c>
      <c r="E17" s="1">
        <f t="shared" si="4"/>
        <v>0</v>
      </c>
      <c r="F17" s="1">
        <f t="shared" si="1"/>
        <v>0</v>
      </c>
      <c r="G17" s="1">
        <f t="shared" si="2"/>
        <v>0</v>
      </c>
      <c r="H17" s="1">
        <f t="shared" si="3"/>
        <v>0</v>
      </c>
    </row>
    <row r="18" spans="3:8">
      <c r="C18" t="s">
        <v>92</v>
      </c>
      <c r="D18" t="s">
        <v>95</v>
      </c>
      <c r="E18" s="1">
        <f t="shared" si="4"/>
        <v>0</v>
      </c>
      <c r="F18" s="1">
        <f t="shared" si="1"/>
        <v>0</v>
      </c>
      <c r="G18" s="1">
        <f t="shared" si="2"/>
        <v>0</v>
      </c>
      <c r="H18" s="1">
        <f t="shared" si="3"/>
        <v>0</v>
      </c>
    </row>
    <row r="19" spans="3:8">
      <c r="C19" t="s">
        <v>92</v>
      </c>
      <c r="D19" t="s">
        <v>96</v>
      </c>
      <c r="E19" s="1">
        <f t="shared" si="4"/>
        <v>0</v>
      </c>
      <c r="F19" s="1">
        <f t="shared" si="1"/>
        <v>0</v>
      </c>
      <c r="G19" s="1">
        <f t="shared" si="2"/>
        <v>0</v>
      </c>
      <c r="H19" s="1">
        <f t="shared" si="3"/>
        <v>0</v>
      </c>
    </row>
    <row r="20" spans="3:8">
      <c r="C20" t="s">
        <v>92</v>
      </c>
      <c r="D20" t="s">
        <v>97</v>
      </c>
      <c r="E20" s="1">
        <f t="shared" si="4"/>
        <v>0</v>
      </c>
      <c r="F20" s="1">
        <f t="shared" si="1"/>
        <v>0</v>
      </c>
      <c r="G20" s="1">
        <f t="shared" si="2"/>
        <v>0</v>
      </c>
      <c r="H20" s="1">
        <f t="shared" si="3"/>
        <v>0</v>
      </c>
    </row>
    <row r="21" spans="3:8">
      <c r="C21" t="s">
        <v>92</v>
      </c>
      <c r="D21" t="s">
        <v>98</v>
      </c>
      <c r="E21" s="1">
        <f t="shared" si="4"/>
        <v>0</v>
      </c>
      <c r="F21" s="1">
        <f t="shared" si="1"/>
        <v>0</v>
      </c>
      <c r="G21" s="1">
        <f t="shared" si="2"/>
        <v>0</v>
      </c>
      <c r="H21" s="1">
        <f t="shared" si="3"/>
        <v>0</v>
      </c>
    </row>
    <row r="22" spans="3:8">
      <c r="C22" t="s">
        <v>92</v>
      </c>
      <c r="D22" t="s">
        <v>100</v>
      </c>
      <c r="E22" s="1">
        <f t="shared" si="4"/>
        <v>0</v>
      </c>
      <c r="F22" s="1">
        <f t="shared" si="1"/>
        <v>0</v>
      </c>
      <c r="G22" s="1">
        <f t="shared" si="2"/>
        <v>0</v>
      </c>
      <c r="H22" s="1">
        <f t="shared" si="3"/>
        <v>0</v>
      </c>
    </row>
    <row r="23" spans="3:8">
      <c r="C23" t="s">
        <v>101</v>
      </c>
      <c r="D23" t="s">
        <v>103</v>
      </c>
      <c r="E23" s="1">
        <f t="shared" si="4"/>
        <v>0</v>
      </c>
      <c r="F23" s="1">
        <f t="shared" si="1"/>
        <v>0</v>
      </c>
      <c r="G23" s="1">
        <f t="shared" si="2"/>
        <v>0</v>
      </c>
      <c r="H23" s="1">
        <f t="shared" si="3"/>
        <v>0</v>
      </c>
    </row>
    <row r="24" spans="3:8">
      <c r="C24" t="s">
        <v>101</v>
      </c>
      <c r="D24" t="s">
        <v>107</v>
      </c>
      <c r="E24" s="1">
        <f t="shared" si="4"/>
        <v>0</v>
      </c>
      <c r="F24" s="1">
        <f t="shared" si="1"/>
        <v>0</v>
      </c>
      <c r="G24" s="1">
        <f t="shared" si="2"/>
        <v>0</v>
      </c>
      <c r="H24" s="1">
        <f t="shared" si="3"/>
        <v>0</v>
      </c>
    </row>
    <row r="25" spans="3:8">
      <c r="C25" t="s">
        <v>101</v>
      </c>
      <c r="D25" t="s">
        <v>108</v>
      </c>
      <c r="E25" s="1">
        <f t="shared" si="4"/>
        <v>0</v>
      </c>
      <c r="F25" s="1">
        <f t="shared" si="1"/>
        <v>0</v>
      </c>
      <c r="G25" s="1">
        <f t="shared" si="2"/>
        <v>0</v>
      </c>
      <c r="H25" s="1">
        <f t="shared" si="3"/>
        <v>0</v>
      </c>
    </row>
    <row r="26" spans="3:8">
      <c r="C26" t="s">
        <v>101</v>
      </c>
      <c r="D26" t="s">
        <v>109</v>
      </c>
      <c r="E26" s="1">
        <f t="shared" si="4"/>
        <v>0</v>
      </c>
      <c r="F26" s="1">
        <f t="shared" si="1"/>
        <v>0</v>
      </c>
      <c r="G26" s="1">
        <f t="shared" si="2"/>
        <v>0</v>
      </c>
      <c r="H26" s="1">
        <f t="shared" si="3"/>
        <v>0</v>
      </c>
    </row>
    <row r="27" spans="3:8">
      <c r="C27" t="s">
        <v>101</v>
      </c>
      <c r="D27" t="s">
        <v>110</v>
      </c>
      <c r="E27" s="1">
        <f t="shared" si="4"/>
        <v>0</v>
      </c>
      <c r="F27" s="1">
        <f t="shared" si="1"/>
        <v>0</v>
      </c>
      <c r="G27" s="1">
        <f t="shared" si="2"/>
        <v>0</v>
      </c>
      <c r="H27" s="1">
        <f t="shared" si="3"/>
        <v>0</v>
      </c>
    </row>
    <row r="28" spans="3:8">
      <c r="C28" t="s">
        <v>101</v>
      </c>
      <c r="D28" t="s">
        <v>112</v>
      </c>
      <c r="E28" s="1">
        <f t="shared" si="4"/>
        <v>0</v>
      </c>
      <c r="F28" s="1">
        <f t="shared" si="1"/>
        <v>0</v>
      </c>
      <c r="G28" s="1">
        <f t="shared" si="2"/>
        <v>0</v>
      </c>
      <c r="H28" s="1">
        <f t="shared" si="3"/>
        <v>0</v>
      </c>
    </row>
    <row r="29" spans="3:8">
      <c r="C29" t="s">
        <v>101</v>
      </c>
      <c r="D29" t="s">
        <v>113</v>
      </c>
      <c r="E29" s="1">
        <f t="shared" si="4"/>
        <v>0</v>
      </c>
      <c r="F29" s="1">
        <f t="shared" si="1"/>
        <v>0</v>
      </c>
      <c r="G29" s="1">
        <f t="shared" si="2"/>
        <v>0</v>
      </c>
      <c r="H29" s="1">
        <f t="shared" si="3"/>
        <v>0</v>
      </c>
    </row>
    <row r="30" spans="3:8">
      <c r="C30" t="s">
        <v>101</v>
      </c>
      <c r="D30" t="s">
        <v>116</v>
      </c>
      <c r="E30" s="1">
        <f t="shared" si="4"/>
        <v>0</v>
      </c>
      <c r="F30" s="1">
        <f t="shared" si="1"/>
        <v>0</v>
      </c>
      <c r="G30" s="1">
        <f t="shared" si="2"/>
        <v>0</v>
      </c>
      <c r="H30" s="1">
        <f t="shared" si="3"/>
        <v>0</v>
      </c>
    </row>
    <row r="31" spans="3:8">
      <c r="C31" t="s">
        <v>101</v>
      </c>
      <c r="D31" t="s">
        <v>118</v>
      </c>
      <c r="E31" s="1">
        <f t="shared" si="4"/>
        <v>0</v>
      </c>
      <c r="F31" s="1">
        <f t="shared" si="1"/>
        <v>0</v>
      </c>
      <c r="G31" s="1">
        <f t="shared" si="2"/>
        <v>0</v>
      </c>
      <c r="H31" s="1">
        <f t="shared" si="3"/>
        <v>0</v>
      </c>
    </row>
    <row r="32" spans="3:8">
      <c r="C32" t="s">
        <v>101</v>
      </c>
      <c r="D32" t="s">
        <v>119</v>
      </c>
      <c r="E32" s="1">
        <f t="shared" si="4"/>
        <v>0</v>
      </c>
      <c r="F32" s="1">
        <f t="shared" si="1"/>
        <v>0</v>
      </c>
      <c r="G32" s="1">
        <f t="shared" si="2"/>
        <v>0</v>
      </c>
      <c r="H32" s="1">
        <f t="shared" si="3"/>
        <v>0</v>
      </c>
    </row>
    <row r="33" spans="3:8">
      <c r="C33" t="s">
        <v>101</v>
      </c>
      <c r="D33" t="s">
        <v>120</v>
      </c>
      <c r="E33" s="1">
        <f t="shared" si="4"/>
        <v>0</v>
      </c>
      <c r="F33" s="1">
        <f t="shared" si="1"/>
        <v>0</v>
      </c>
      <c r="G33" s="1">
        <f t="shared" si="2"/>
        <v>0</v>
      </c>
      <c r="H33" s="1">
        <f t="shared" si="3"/>
        <v>0</v>
      </c>
    </row>
    <row r="34" spans="3:8">
      <c r="C34" t="s">
        <v>101</v>
      </c>
      <c r="D34" t="s">
        <v>122</v>
      </c>
      <c r="E34" s="1">
        <f t="shared" si="4"/>
        <v>0</v>
      </c>
      <c r="F34" s="1">
        <f t="shared" si="1"/>
        <v>0</v>
      </c>
      <c r="G34" s="1">
        <f t="shared" si="2"/>
        <v>0</v>
      </c>
      <c r="H34" s="1">
        <f t="shared" si="3"/>
        <v>0</v>
      </c>
    </row>
    <row r="35" spans="3:8">
      <c r="C35" t="s">
        <v>101</v>
      </c>
      <c r="D35" t="s">
        <v>123</v>
      </c>
      <c r="E35" s="1">
        <f t="shared" si="4"/>
        <v>0</v>
      </c>
      <c r="F35" s="1">
        <f t="shared" si="1"/>
        <v>0</v>
      </c>
      <c r="G35" s="1">
        <f t="shared" si="2"/>
        <v>0</v>
      </c>
      <c r="H35" s="1">
        <f t="shared" si="3"/>
        <v>0</v>
      </c>
    </row>
  </sheetData>
  <mergeCells count="4">
    <mergeCell ref="I2:AL2"/>
    <mergeCell ref="AM2:BQ2"/>
    <mergeCell ref="BR2:CV2"/>
    <mergeCell ref="C2:G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DEFBC-C990-418E-9678-57E746E20033}">
  <sheetPr>
    <tabColor theme="9" tint="0.59999389629810485"/>
    <pageSetUpPr fitToPage="1"/>
  </sheetPr>
  <dimension ref="A1:E37"/>
  <sheetViews>
    <sheetView showGridLines="0" zoomScale="50" zoomScaleNormal="50" workbookViewId="0">
      <selection activeCell="L53" sqref="L53"/>
    </sheetView>
  </sheetViews>
  <sheetFormatPr defaultColWidth="9.140625" defaultRowHeight="13.5"/>
  <cols>
    <col min="1" max="1" width="23.42578125" style="48" customWidth="1"/>
    <col min="2" max="2" width="23" style="48" customWidth="1"/>
    <col min="3" max="4" width="16.85546875" style="48" bestFit="1" customWidth="1"/>
    <col min="5" max="5" width="14.28515625" style="48" customWidth="1"/>
    <col min="6" max="16384" width="9.140625" style="48"/>
  </cols>
  <sheetData>
    <row r="1" spans="1:5" ht="14.25" thickBot="1">
      <c r="A1" s="47"/>
      <c r="B1" s="47"/>
      <c r="C1" s="47"/>
      <c r="D1" s="47"/>
    </row>
    <row r="2" spans="1:5" ht="15" customHeight="1">
      <c r="A2" s="49" t="s">
        <v>198</v>
      </c>
      <c r="B2" s="50">
        <v>2500</v>
      </c>
      <c r="C2" s="110" t="s">
        <v>199</v>
      </c>
      <c r="D2" s="111"/>
      <c r="E2" s="111"/>
    </row>
    <row r="3" spans="1:5" ht="15" customHeight="1">
      <c r="A3" s="49" t="s">
        <v>200</v>
      </c>
      <c r="B3" s="50">
        <f>B2*20%</f>
        <v>500</v>
      </c>
      <c r="C3" s="112"/>
      <c r="D3" s="113"/>
      <c r="E3" s="113"/>
    </row>
    <row r="4" spans="1:5" ht="17.25" customHeight="1">
      <c r="A4" s="49" t="s">
        <v>201</v>
      </c>
      <c r="B4" s="51">
        <v>46143</v>
      </c>
      <c r="C4" s="112"/>
      <c r="D4" s="113"/>
      <c r="E4" s="113"/>
    </row>
    <row r="5" spans="1:5" ht="19.5" customHeight="1" thickBot="1">
      <c r="A5" s="49" t="s">
        <v>202</v>
      </c>
      <c r="B5" s="51">
        <v>46162</v>
      </c>
      <c r="C5" s="114"/>
      <c r="D5" s="115"/>
      <c r="E5" s="115"/>
    </row>
    <row r="6" spans="1:5" ht="27.75" customHeight="1" thickBot="1">
      <c r="A6" s="49"/>
      <c r="B6" s="116" t="s">
        <v>203</v>
      </c>
      <c r="C6" s="117"/>
      <c r="D6" s="118" t="s">
        <v>204</v>
      </c>
      <c r="E6" s="119"/>
    </row>
    <row r="7" spans="1:5" ht="42.75" customHeight="1" thickBot="1">
      <c r="A7" s="52" t="s">
        <v>205</v>
      </c>
      <c r="B7" s="53" t="s">
        <v>206</v>
      </c>
      <c r="C7" s="54" t="s">
        <v>207</v>
      </c>
      <c r="D7" s="55" t="s">
        <v>208</v>
      </c>
      <c r="E7" s="56" t="s">
        <v>207</v>
      </c>
    </row>
    <row r="8" spans="1:5" ht="18" customHeight="1">
      <c r="A8" s="57">
        <v>46143</v>
      </c>
      <c r="B8" s="58">
        <v>0</v>
      </c>
      <c r="C8" s="58">
        <v>0</v>
      </c>
      <c r="D8" s="59">
        <v>0</v>
      </c>
      <c r="E8" s="60">
        <v>0</v>
      </c>
    </row>
    <row r="9" spans="1:5" ht="18" customHeight="1">
      <c r="A9" s="57">
        <v>46144</v>
      </c>
      <c r="B9" s="58">
        <f>C8+C9</f>
        <v>62</v>
      </c>
      <c r="C9" s="58">
        <v>62</v>
      </c>
      <c r="D9" s="59">
        <f>E8+E9</f>
        <v>1</v>
      </c>
      <c r="E9" s="60">
        <v>1</v>
      </c>
    </row>
    <row r="10" spans="1:5" ht="18" customHeight="1">
      <c r="A10" s="57">
        <v>46145</v>
      </c>
      <c r="B10" s="58">
        <f>C8+C9+C10</f>
        <v>84</v>
      </c>
      <c r="C10" s="58">
        <v>22</v>
      </c>
      <c r="D10" s="59">
        <f>E8+E9+E10</f>
        <v>3</v>
      </c>
      <c r="E10" s="60">
        <v>2</v>
      </c>
    </row>
    <row r="11" spans="1:5" ht="18" customHeight="1">
      <c r="A11" s="57">
        <v>46146</v>
      </c>
      <c r="B11" s="58">
        <f t="shared" ref="B11" si="0">C9+C10+C11</f>
        <v>108</v>
      </c>
      <c r="C11" s="58">
        <v>24</v>
      </c>
      <c r="D11" s="59">
        <f t="shared" ref="D11" si="1">E9+E10+E11</f>
        <v>6</v>
      </c>
      <c r="E11" s="60">
        <v>3</v>
      </c>
    </row>
    <row r="12" spans="1:5" ht="18" customHeight="1">
      <c r="A12" s="57">
        <v>46147</v>
      </c>
      <c r="B12" s="58">
        <f>C10+C11+C12+C9</f>
        <v>134</v>
      </c>
      <c r="C12" s="58">
        <v>26</v>
      </c>
      <c r="D12" s="59">
        <f>E10+E11+E12+E9</f>
        <v>10</v>
      </c>
      <c r="E12" s="61">
        <v>4</v>
      </c>
    </row>
    <row r="13" spans="1:5" ht="18" customHeight="1">
      <c r="A13" s="57">
        <v>46148</v>
      </c>
      <c r="B13" s="58">
        <f>C11+C12+C13+C10+C9</f>
        <v>162</v>
      </c>
      <c r="C13" s="58">
        <v>28</v>
      </c>
      <c r="D13" s="59">
        <f>E11+E12+E13+E10+E9</f>
        <v>12</v>
      </c>
      <c r="E13" s="61">
        <v>2</v>
      </c>
    </row>
    <row r="14" spans="1:5" ht="18" customHeight="1">
      <c r="A14" s="57">
        <v>46149</v>
      </c>
      <c r="B14" s="58">
        <f>C12+C13+C14+C11+C10+C9</f>
        <v>192</v>
      </c>
      <c r="C14" s="58">
        <v>30</v>
      </c>
      <c r="D14" s="59"/>
      <c r="E14" s="61"/>
    </row>
    <row r="15" spans="1:5" ht="18" customHeight="1">
      <c r="A15" s="57">
        <v>46150</v>
      </c>
      <c r="B15" s="58">
        <f>C13+C14+C15+C12+C11+C10+C9</f>
        <v>222</v>
      </c>
      <c r="C15" s="58">
        <v>30</v>
      </c>
      <c r="D15" s="59"/>
      <c r="E15" s="61"/>
    </row>
    <row r="16" spans="1:5" ht="18" customHeight="1">
      <c r="A16" s="57">
        <v>46151</v>
      </c>
      <c r="B16" s="58">
        <f>C14+C15+C16+C13+C12+C11+C10+C9</f>
        <v>252</v>
      </c>
      <c r="C16" s="58">
        <v>30</v>
      </c>
      <c r="D16" s="59"/>
      <c r="E16" s="61"/>
    </row>
    <row r="17" spans="1:5" ht="18" customHeight="1">
      <c r="A17" s="57">
        <v>46152</v>
      </c>
      <c r="B17" s="58">
        <f>C15+C16+C17+C14+C13+C12+C11+C10+C9</f>
        <v>284</v>
      </c>
      <c r="C17" s="58">
        <v>32</v>
      </c>
      <c r="D17" s="59"/>
      <c r="E17" s="61"/>
    </row>
    <row r="18" spans="1:5" ht="18" customHeight="1">
      <c r="A18" s="57">
        <v>46153</v>
      </c>
      <c r="B18" s="58">
        <f>C16+C17+C18+C15+C14+C13+C12+C11+C10+C9</f>
        <v>316</v>
      </c>
      <c r="C18" s="58">
        <v>32</v>
      </c>
      <c r="D18" s="59"/>
      <c r="E18" s="61"/>
    </row>
    <row r="19" spans="1:5" ht="18" customHeight="1">
      <c r="A19" s="57">
        <v>46154</v>
      </c>
      <c r="B19" s="58">
        <f>C17+C18+C19+C16+C15+C14+C13+C12+C11+C10+C9</f>
        <v>348</v>
      </c>
      <c r="C19" s="58">
        <v>32</v>
      </c>
      <c r="D19" s="59"/>
      <c r="E19" s="61"/>
    </row>
    <row r="20" spans="1:5" ht="18" customHeight="1">
      <c r="A20" s="57">
        <v>46155</v>
      </c>
      <c r="B20" s="58">
        <f>C18+C19+C20+C17+C16+C15+C14+C13+C12+C11+C10+C9</f>
        <v>380</v>
      </c>
      <c r="C20" s="58">
        <v>32</v>
      </c>
      <c r="D20" s="59"/>
      <c r="E20" s="61"/>
    </row>
    <row r="21" spans="1:5" ht="18" customHeight="1">
      <c r="A21" s="57">
        <v>46156</v>
      </c>
      <c r="B21" s="58">
        <f>C19+C20+C21+C18+C17+C16+C15+C14+C13+C12+C11+C10+C9</f>
        <v>412</v>
      </c>
      <c r="C21" s="58">
        <v>32</v>
      </c>
      <c r="D21" s="59"/>
      <c r="E21" s="61"/>
    </row>
    <row r="22" spans="1:5" ht="18" customHeight="1">
      <c r="A22" s="57">
        <v>46157</v>
      </c>
      <c r="B22" s="58">
        <f>C20+C21+C22+C19+C18+C17+C16+C15+C14+C13+C12+C11+C10+C9</f>
        <v>442</v>
      </c>
      <c r="C22" s="58">
        <v>30</v>
      </c>
      <c r="D22" s="59"/>
      <c r="E22" s="61"/>
    </row>
    <row r="23" spans="1:5" ht="15.4">
      <c r="A23" s="57">
        <v>46158</v>
      </c>
      <c r="B23" s="58">
        <f>C21+C22+C23+C20+C19+C18+C17+C16+C15+C14+C13+C12+C11+C10+C9</f>
        <v>458</v>
      </c>
      <c r="C23" s="58">
        <v>16</v>
      </c>
      <c r="D23" s="59"/>
      <c r="E23" s="61"/>
    </row>
    <row r="24" spans="1:5" ht="15.4">
      <c r="A24" s="57">
        <v>46159</v>
      </c>
      <c r="B24" s="58">
        <f>C22+C23+C24+C21+C20+C19+C18+C17+C16+C15+C14+C13+C12+C11+C10+C9</f>
        <v>474</v>
      </c>
      <c r="C24" s="58">
        <v>16</v>
      </c>
      <c r="D24" s="59"/>
      <c r="E24" s="61"/>
    </row>
    <row r="25" spans="1:5" ht="15.4">
      <c r="A25" s="57">
        <v>46160</v>
      </c>
      <c r="B25" s="58">
        <f>C23+C24+C25+C22+C21+C20+C19+C18+C17+C16+C15+C14+C13+C12+C11+C10+C9</f>
        <v>490</v>
      </c>
      <c r="C25" s="58">
        <v>16</v>
      </c>
      <c r="D25" s="59"/>
      <c r="E25" s="61"/>
    </row>
    <row r="26" spans="1:5" ht="15.4">
      <c r="A26" s="57">
        <v>46161</v>
      </c>
      <c r="B26" s="58">
        <f>C24+C25+C26+C23+C22+C21+C20+C19+C18+C17+C16+C15+C14+C13+C12+C11+C10+C9</f>
        <v>506</v>
      </c>
      <c r="C26" s="58">
        <v>16</v>
      </c>
      <c r="D26" s="59"/>
      <c r="E26" s="61"/>
    </row>
    <row r="27" spans="1:5" ht="15.4">
      <c r="A27" s="57">
        <v>46162</v>
      </c>
      <c r="B27" s="58">
        <f>C25+C26+C27+C24+C23+C22+C21+C20+C19+C18+C17+C16+C15+C14+C13+C12+C11+C10+C9</f>
        <v>512</v>
      </c>
      <c r="C27" s="58">
        <v>6</v>
      </c>
      <c r="D27" s="59"/>
      <c r="E27" s="61"/>
    </row>
    <row r="34" spans="2:3" ht="14.25">
      <c r="B34" s="62"/>
      <c r="C34" s="63"/>
    </row>
    <row r="37" spans="2:3">
      <c r="C37" s="63"/>
    </row>
  </sheetData>
  <mergeCells count="3">
    <mergeCell ref="C2:E5"/>
    <mergeCell ref="B6:C6"/>
    <mergeCell ref="D6:E6"/>
  </mergeCells>
  <pageMargins left="0.51181102362204722" right="0.51181102362204722" top="0.55118110236220474" bottom="0.55118110236220474" header="0.31496062992125984" footer="0.31496062992125984"/>
  <pageSetup scale="44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562A3-0651-4955-A65C-677A3CFCC3F6}">
  <sheetPr>
    <tabColor theme="9" tint="0.59999389629810485"/>
    <pageSetUpPr fitToPage="1"/>
  </sheetPr>
  <dimension ref="A1:E93"/>
  <sheetViews>
    <sheetView showGridLines="0" topLeftCell="A7" zoomScale="55" zoomScaleNormal="55" workbookViewId="0">
      <selection activeCell="AF10" sqref="AF10"/>
    </sheetView>
  </sheetViews>
  <sheetFormatPr defaultColWidth="9.140625" defaultRowHeight="13.5"/>
  <cols>
    <col min="1" max="1" width="23.42578125" style="48" customWidth="1"/>
    <col min="2" max="2" width="20.28515625" style="48" customWidth="1"/>
    <col min="3" max="3" width="13" style="48" customWidth="1"/>
    <col min="4" max="4" width="12.85546875" style="48" customWidth="1"/>
    <col min="5" max="5" width="16.5703125" style="48" customWidth="1"/>
    <col min="6" max="16384" width="9.140625" style="48"/>
  </cols>
  <sheetData>
    <row r="1" spans="1:5" ht="14.25" thickBot="1">
      <c r="A1" s="69">
        <f>B3/B2</f>
        <v>0.6420545746388443</v>
      </c>
      <c r="B1" s="47"/>
      <c r="C1" s="47"/>
      <c r="D1" s="47"/>
    </row>
    <row r="2" spans="1:5" ht="15" customHeight="1">
      <c r="A2" s="49" t="s">
        <v>198</v>
      </c>
      <c r="B2" s="50">
        <v>623</v>
      </c>
      <c r="C2" s="120" t="s">
        <v>209</v>
      </c>
      <c r="D2" s="121"/>
      <c r="E2" s="121"/>
    </row>
    <row r="3" spans="1:5" ht="15" customHeight="1">
      <c r="A3" s="49" t="s">
        <v>210</v>
      </c>
      <c r="B3" s="50">
        <v>400</v>
      </c>
      <c r="C3" s="122"/>
      <c r="D3" s="123"/>
      <c r="E3" s="123"/>
    </row>
    <row r="4" spans="1:5" ht="17.25" customHeight="1">
      <c r="A4" s="49" t="s">
        <v>201</v>
      </c>
      <c r="B4" s="51">
        <v>46143</v>
      </c>
      <c r="C4" s="122"/>
      <c r="D4" s="123"/>
      <c r="E4" s="123"/>
    </row>
    <row r="5" spans="1:5" ht="19.5" customHeight="1" thickBot="1">
      <c r="A5" s="49" t="s">
        <v>202</v>
      </c>
      <c r="B5" s="51">
        <v>46162</v>
      </c>
      <c r="C5" s="124"/>
      <c r="D5" s="125"/>
      <c r="E5" s="125"/>
    </row>
    <row r="6" spans="1:5" ht="27.75" customHeight="1" thickBot="1">
      <c r="A6" s="49"/>
      <c r="B6" s="126" t="s">
        <v>203</v>
      </c>
      <c r="C6" s="127"/>
      <c r="D6" s="128" t="s">
        <v>204</v>
      </c>
      <c r="E6" s="129"/>
    </row>
    <row r="7" spans="1:5" ht="42.75" customHeight="1" thickBot="1">
      <c r="A7" s="52" t="s">
        <v>205</v>
      </c>
      <c r="B7" s="65" t="s">
        <v>206</v>
      </c>
      <c r="C7" s="66" t="s">
        <v>207</v>
      </c>
      <c r="D7" s="67" t="s">
        <v>208</v>
      </c>
      <c r="E7" s="68" t="s">
        <v>207</v>
      </c>
    </row>
    <row r="8" spans="1:5" ht="18" customHeight="1">
      <c r="A8" s="64">
        <v>46143</v>
      </c>
      <c r="B8" s="58">
        <v>0</v>
      </c>
      <c r="C8" s="58">
        <v>0</v>
      </c>
      <c r="D8" s="58">
        <v>0</v>
      </c>
      <c r="E8" s="60">
        <v>0</v>
      </c>
    </row>
    <row r="9" spans="1:5" ht="18" customHeight="1">
      <c r="A9" s="64">
        <v>46144</v>
      </c>
      <c r="B9" s="58">
        <f>C8+C9</f>
        <v>8</v>
      </c>
      <c r="C9" s="58">
        <v>8</v>
      </c>
      <c r="D9" s="58">
        <f>E8+E9</f>
        <v>4</v>
      </c>
      <c r="E9" s="60">
        <v>4</v>
      </c>
    </row>
    <row r="10" spans="1:5" ht="18" customHeight="1">
      <c r="A10" s="64">
        <v>46145</v>
      </c>
      <c r="B10" s="58">
        <f>C8+C9+C10</f>
        <v>20</v>
      </c>
      <c r="C10" s="58">
        <v>12</v>
      </c>
      <c r="D10" s="58">
        <f>E8+E9+E10</f>
        <v>12</v>
      </c>
      <c r="E10" s="60">
        <v>8</v>
      </c>
    </row>
    <row r="11" spans="1:5" ht="18" customHeight="1">
      <c r="A11" s="64">
        <v>46146</v>
      </c>
      <c r="B11" s="58">
        <f t="shared" ref="B11" si="0">C9+C10+C11</f>
        <v>33</v>
      </c>
      <c r="C11" s="58">
        <v>13</v>
      </c>
      <c r="D11" s="58">
        <f t="shared" ref="D11" si="1">E9+E10+E11</f>
        <v>23</v>
      </c>
      <c r="E11" s="60">
        <v>11</v>
      </c>
    </row>
    <row r="12" spans="1:5" ht="18" customHeight="1">
      <c r="A12" s="64">
        <v>46147</v>
      </c>
      <c r="B12" s="58">
        <f>C10+C11+C12+C9</f>
        <v>45</v>
      </c>
      <c r="C12" s="58">
        <v>12</v>
      </c>
      <c r="D12" s="58">
        <f>E10+E11+E12+E9</f>
        <v>46</v>
      </c>
      <c r="E12" s="61">
        <v>23</v>
      </c>
    </row>
    <row r="13" spans="1:5" ht="18" customHeight="1">
      <c r="A13" s="64">
        <v>46148</v>
      </c>
      <c r="B13" s="58">
        <f>C11+C12+C13+C10+C9</f>
        <v>59</v>
      </c>
      <c r="C13" s="58">
        <v>14</v>
      </c>
      <c r="D13" s="58">
        <f>E11+E12+E13+E10+E9</f>
        <v>68</v>
      </c>
      <c r="E13" s="61">
        <v>22</v>
      </c>
    </row>
    <row r="14" spans="1:5" ht="18" customHeight="1">
      <c r="A14" s="64">
        <v>46149</v>
      </c>
      <c r="B14" s="58">
        <f>C12+C13+C14+C11+C10+C9</f>
        <v>74</v>
      </c>
      <c r="C14" s="58">
        <v>15</v>
      </c>
      <c r="D14" s="58">
        <f>E12+E13+E14+E11+E10+E9</f>
        <v>103</v>
      </c>
      <c r="E14" s="61">
        <v>35</v>
      </c>
    </row>
    <row r="15" spans="1:5" ht="18" customHeight="1">
      <c r="A15" s="64">
        <v>46150</v>
      </c>
      <c r="B15" s="58">
        <f>C13+C14+C15+C12+C11+C10+C9</f>
        <v>86</v>
      </c>
      <c r="C15" s="58">
        <v>12</v>
      </c>
      <c r="D15" s="58">
        <f>E13+E14+E15+E12+E11+E10+E9</f>
        <v>137</v>
      </c>
      <c r="E15" s="61">
        <v>34</v>
      </c>
    </row>
    <row r="16" spans="1:5" ht="18" customHeight="1">
      <c r="A16" s="64">
        <v>46151</v>
      </c>
      <c r="B16" s="58">
        <f>C14+C15+C16+C13+C12+C11+C10+C9</f>
        <v>98</v>
      </c>
      <c r="C16" s="58">
        <v>12</v>
      </c>
      <c r="D16" s="58">
        <f>E14+E15+E16+E13+E12+E11+E10+E9</f>
        <v>180</v>
      </c>
      <c r="E16" s="61">
        <v>43</v>
      </c>
    </row>
    <row r="17" spans="1:5" ht="18" customHeight="1">
      <c r="A17" s="64">
        <v>46152</v>
      </c>
      <c r="B17" s="58">
        <f>C15+C16+C17+C14+C13+C12+C11+C10+C9</f>
        <v>110</v>
      </c>
      <c r="C17" s="58">
        <v>12</v>
      </c>
      <c r="D17" s="58"/>
      <c r="E17" s="61"/>
    </row>
    <row r="18" spans="1:5" ht="18" customHeight="1">
      <c r="A18" s="64">
        <v>46153</v>
      </c>
      <c r="B18" s="58">
        <f>C16+C17+C18+C15+C14+C13+C12+C11+C10+C9</f>
        <v>118</v>
      </c>
      <c r="C18" s="58">
        <v>8</v>
      </c>
      <c r="D18" s="58"/>
      <c r="E18" s="61"/>
    </row>
    <row r="19" spans="1:5" ht="18" customHeight="1">
      <c r="A19" s="64">
        <v>46154</v>
      </c>
      <c r="B19" s="58">
        <f>C17+C18+C19+C16+C15+C14+C13+C12+C11+C10+C9</f>
        <v>127</v>
      </c>
      <c r="C19" s="58">
        <v>9</v>
      </c>
      <c r="D19" s="58"/>
      <c r="E19" s="61"/>
    </row>
    <row r="20" spans="1:5" ht="18" customHeight="1">
      <c r="A20" s="64">
        <v>46155</v>
      </c>
      <c r="B20" s="58">
        <f>C18+C19+C20+C17+C16+C15+C14+C13+C12+C11+C10+C9</f>
        <v>139</v>
      </c>
      <c r="C20" s="58">
        <v>12</v>
      </c>
      <c r="D20" s="58"/>
      <c r="E20" s="61"/>
    </row>
    <row r="21" spans="1:5" ht="18" customHeight="1">
      <c r="A21" s="64">
        <v>46156</v>
      </c>
      <c r="B21" s="58">
        <f>C19+C20+C21+C18+C17+C16+C15+C14+C13+C12+C11+C10+C9</f>
        <v>145</v>
      </c>
      <c r="C21" s="58">
        <v>6</v>
      </c>
      <c r="D21" s="58"/>
      <c r="E21" s="61"/>
    </row>
    <row r="22" spans="1:5" ht="18" customHeight="1">
      <c r="A22" s="64">
        <v>46157</v>
      </c>
      <c r="B22" s="58">
        <f>C20+C21+C22+C19+C18+C17+C16+C15+C14+C13+C12+C11+C10+C9</f>
        <v>151</v>
      </c>
      <c r="C22" s="58">
        <v>6</v>
      </c>
      <c r="D22" s="58"/>
      <c r="E22" s="61"/>
    </row>
    <row r="23" spans="1:5" ht="15.4">
      <c r="A23" s="64">
        <v>46158</v>
      </c>
      <c r="B23" s="58">
        <f>C21+C22+C23+C20+C19+C18+C17+C16+C15+C14+C13+C12+C11+C10+C9</f>
        <v>161</v>
      </c>
      <c r="C23" s="58">
        <v>10</v>
      </c>
      <c r="D23" s="58"/>
      <c r="E23" s="61"/>
    </row>
    <row r="24" spans="1:5" ht="15.4">
      <c r="A24" s="64">
        <v>46159</v>
      </c>
      <c r="B24" s="58">
        <f>C22+C23+C24+C21+C20+C19+C18+C17+C16+C15+C14+C13+C12+C11+C10+C9</f>
        <v>173</v>
      </c>
      <c r="C24" s="58">
        <v>12</v>
      </c>
      <c r="D24" s="58"/>
      <c r="E24" s="61"/>
    </row>
    <row r="25" spans="1:5" ht="15.4">
      <c r="A25" s="64">
        <v>46160</v>
      </c>
      <c r="B25" s="58">
        <f>C23+C24+C25+C22+C21+C20+C19+C18+C17+C16+C15+C14+C13+C12+C11+C10+C9</f>
        <v>181</v>
      </c>
      <c r="C25" s="58">
        <v>8</v>
      </c>
      <c r="D25" s="58"/>
      <c r="E25" s="61"/>
    </row>
    <row r="26" spans="1:5" ht="15.4">
      <c r="A26" s="64">
        <v>46161</v>
      </c>
      <c r="B26" s="58">
        <f>C24+C25+C26+C23+C22+C21+C20+C19+C18+C17+C16+C15+C14+C13+C12+C11+C10+C9</f>
        <v>190</v>
      </c>
      <c r="C26" s="58">
        <v>9</v>
      </c>
      <c r="D26" s="58"/>
      <c r="E26" s="61"/>
    </row>
    <row r="27" spans="1:5" ht="15.4">
      <c r="A27" s="64">
        <v>46162</v>
      </c>
      <c r="B27" s="58">
        <f>C25+C26+C27+C24+C23+C22+C21+C20+C19+C18+C17+C16+C15+C14+C13+C12+C11+C10+C9</f>
        <v>200</v>
      </c>
      <c r="C27" s="58">
        <v>10</v>
      </c>
      <c r="D27" s="58"/>
      <c r="E27" s="61"/>
    </row>
    <row r="28" spans="1:5" ht="15.4">
      <c r="A28" s="64">
        <v>46163</v>
      </c>
      <c r="B28" s="58"/>
      <c r="C28" s="58"/>
      <c r="D28" s="58"/>
      <c r="E28" s="61"/>
    </row>
    <row r="29" spans="1:5" ht="15.4">
      <c r="A29" s="64">
        <v>46164</v>
      </c>
      <c r="B29" s="58"/>
      <c r="C29" s="58"/>
      <c r="D29" s="58"/>
      <c r="E29" s="61"/>
    </row>
    <row r="30" spans="1:5" ht="15.4">
      <c r="A30" s="64">
        <v>46165</v>
      </c>
      <c r="B30" s="58"/>
      <c r="C30" s="58"/>
      <c r="D30" s="58"/>
      <c r="E30" s="61"/>
    </row>
    <row r="31" spans="1:5" ht="15.4">
      <c r="A31" s="64">
        <v>46166</v>
      </c>
      <c r="B31" s="58"/>
      <c r="C31" s="58"/>
      <c r="D31" s="58"/>
      <c r="E31" s="61"/>
    </row>
    <row r="32" spans="1:5" ht="15.4">
      <c r="A32" s="64">
        <v>46167</v>
      </c>
      <c r="B32" s="58"/>
      <c r="C32" s="58"/>
      <c r="D32" s="58"/>
      <c r="E32" s="61"/>
    </row>
    <row r="33" spans="1:5" ht="15.4">
      <c r="A33" s="64">
        <v>46168</v>
      </c>
      <c r="B33" s="58"/>
      <c r="C33" s="58"/>
      <c r="D33" s="58"/>
      <c r="E33" s="61"/>
    </row>
    <row r="34" spans="1:5" ht="15.4">
      <c r="A34" s="64">
        <v>46169</v>
      </c>
      <c r="B34" s="58"/>
      <c r="C34" s="58"/>
      <c r="D34" s="58"/>
      <c r="E34" s="61"/>
    </row>
    <row r="35" spans="1:5" ht="15.4">
      <c r="A35" s="64">
        <v>46170</v>
      </c>
      <c r="B35" s="58"/>
      <c r="C35" s="58"/>
      <c r="D35" s="58"/>
      <c r="E35" s="61"/>
    </row>
    <row r="36" spans="1:5" ht="15.4">
      <c r="A36" s="64">
        <v>46171</v>
      </c>
      <c r="B36" s="58"/>
      <c r="C36" s="58"/>
      <c r="D36" s="58"/>
      <c r="E36" s="61"/>
    </row>
    <row r="37" spans="1:5" ht="15.4">
      <c r="A37" s="64">
        <v>46172</v>
      </c>
      <c r="B37" s="58"/>
      <c r="C37" s="58"/>
      <c r="D37" s="58"/>
      <c r="E37" s="61"/>
    </row>
    <row r="38" spans="1:5" ht="15.4">
      <c r="A38" s="64">
        <v>46173</v>
      </c>
      <c r="B38" s="58"/>
      <c r="C38" s="58"/>
      <c r="D38" s="58"/>
      <c r="E38" s="61"/>
    </row>
    <row r="39" spans="1:5" ht="15.4">
      <c r="A39" s="64">
        <v>46174</v>
      </c>
      <c r="B39" s="58"/>
      <c r="C39" s="58"/>
      <c r="D39" s="58"/>
      <c r="E39" s="61"/>
    </row>
    <row r="40" spans="1:5" ht="15.4">
      <c r="A40" s="64">
        <v>46175</v>
      </c>
      <c r="B40" s="58"/>
      <c r="C40" s="58"/>
      <c r="D40" s="58"/>
      <c r="E40" s="61"/>
    </row>
    <row r="41" spans="1:5" ht="15.4">
      <c r="A41" s="64">
        <v>46176</v>
      </c>
      <c r="B41" s="58"/>
      <c r="C41" s="58"/>
      <c r="D41" s="58"/>
      <c r="E41" s="61"/>
    </row>
    <row r="42" spans="1:5" ht="15.4">
      <c r="A42" s="64">
        <v>46177</v>
      </c>
      <c r="B42" s="58"/>
      <c r="C42" s="58"/>
      <c r="D42" s="58"/>
      <c r="E42" s="61"/>
    </row>
    <row r="43" spans="1:5" ht="15.4">
      <c r="A43" s="64">
        <v>46178</v>
      </c>
      <c r="B43" s="58"/>
      <c r="C43" s="58"/>
      <c r="D43" s="58"/>
      <c r="E43" s="61"/>
    </row>
    <row r="44" spans="1:5" ht="15.4">
      <c r="A44" s="64">
        <v>46179</v>
      </c>
      <c r="B44" s="58"/>
      <c r="C44" s="58"/>
      <c r="D44" s="58"/>
      <c r="E44" s="61"/>
    </row>
    <row r="45" spans="1:5" ht="15.4">
      <c r="A45" s="64">
        <v>46180</v>
      </c>
      <c r="B45" s="58"/>
      <c r="C45" s="58"/>
      <c r="D45" s="58"/>
      <c r="E45" s="61"/>
    </row>
    <row r="46" spans="1:5" ht="15.4">
      <c r="A46" s="64">
        <v>46181</v>
      </c>
      <c r="B46" s="58"/>
      <c r="C46" s="58"/>
      <c r="D46" s="58"/>
      <c r="E46" s="61"/>
    </row>
    <row r="47" spans="1:5" ht="15.4">
      <c r="A47" s="64">
        <v>46182</v>
      </c>
      <c r="B47" s="58"/>
      <c r="C47" s="58"/>
      <c r="D47" s="58"/>
      <c r="E47" s="61"/>
    </row>
    <row r="48" spans="1:5" ht="15.4">
      <c r="A48" s="64">
        <v>46183</v>
      </c>
      <c r="B48" s="58"/>
      <c r="C48" s="58"/>
      <c r="D48" s="58"/>
      <c r="E48" s="61"/>
    </row>
    <row r="49" spans="1:5" ht="15.4">
      <c r="A49" s="64">
        <v>46184</v>
      </c>
      <c r="B49" s="58"/>
      <c r="C49" s="58"/>
      <c r="D49" s="58"/>
      <c r="E49" s="61"/>
    </row>
    <row r="50" spans="1:5" ht="15.4">
      <c r="A50" s="64">
        <v>46185</v>
      </c>
      <c r="B50" s="58"/>
      <c r="C50" s="58"/>
      <c r="D50" s="58"/>
      <c r="E50" s="61"/>
    </row>
    <row r="51" spans="1:5" ht="15.4">
      <c r="A51" s="64">
        <v>46186</v>
      </c>
      <c r="B51" s="58"/>
      <c r="C51" s="58"/>
      <c r="D51" s="58"/>
      <c r="E51" s="61"/>
    </row>
    <row r="52" spans="1:5" ht="15.4">
      <c r="A52" s="64">
        <v>46187</v>
      </c>
      <c r="B52" s="58"/>
      <c r="C52" s="58"/>
      <c r="D52" s="58"/>
      <c r="E52" s="61"/>
    </row>
    <row r="53" spans="1:5" ht="15.4">
      <c r="A53" s="64">
        <v>46188</v>
      </c>
      <c r="B53" s="58"/>
      <c r="C53" s="58"/>
      <c r="D53" s="58"/>
      <c r="E53" s="61"/>
    </row>
    <row r="54" spans="1:5" ht="15.4">
      <c r="A54" s="64">
        <v>46189</v>
      </c>
      <c r="B54" s="58"/>
      <c r="C54" s="58"/>
      <c r="D54" s="58"/>
      <c r="E54" s="61"/>
    </row>
    <row r="55" spans="1:5" ht="15.4">
      <c r="A55" s="64">
        <v>46190</v>
      </c>
      <c r="B55" s="58"/>
      <c r="C55" s="58"/>
      <c r="D55" s="58"/>
      <c r="E55" s="61"/>
    </row>
    <row r="56" spans="1:5" ht="15.4">
      <c r="A56" s="64">
        <v>46191</v>
      </c>
      <c r="B56" s="58"/>
      <c r="C56" s="58"/>
      <c r="D56" s="58"/>
      <c r="E56" s="61"/>
    </row>
    <row r="57" spans="1:5" ht="15.4">
      <c r="A57" s="64">
        <v>46192</v>
      </c>
      <c r="B57" s="58"/>
      <c r="C57" s="58"/>
      <c r="D57" s="58"/>
      <c r="E57" s="61"/>
    </row>
    <row r="58" spans="1:5" ht="15.4">
      <c r="A58" s="64">
        <v>46193</v>
      </c>
      <c r="B58" s="58"/>
      <c r="C58" s="58"/>
      <c r="D58" s="58"/>
      <c r="E58" s="61"/>
    </row>
    <row r="59" spans="1:5" ht="15.4">
      <c r="A59" s="64">
        <v>46194</v>
      </c>
      <c r="B59" s="58"/>
      <c r="C59" s="58"/>
      <c r="D59" s="58"/>
      <c r="E59" s="61"/>
    </row>
    <row r="60" spans="1:5" ht="15.4">
      <c r="A60" s="64">
        <v>46195</v>
      </c>
      <c r="B60" s="58"/>
      <c r="C60" s="58"/>
      <c r="D60" s="58"/>
      <c r="E60" s="61"/>
    </row>
    <row r="61" spans="1:5" ht="15.4">
      <c r="A61" s="64">
        <v>46196</v>
      </c>
      <c r="B61" s="58"/>
      <c r="C61" s="58"/>
      <c r="D61" s="58"/>
      <c r="E61" s="61"/>
    </row>
    <row r="62" spans="1:5" ht="15.4">
      <c r="A62" s="64">
        <v>46197</v>
      </c>
      <c r="B62" s="58"/>
      <c r="C62" s="58"/>
      <c r="D62" s="58"/>
      <c r="E62" s="61"/>
    </row>
    <row r="63" spans="1:5" ht="15.4">
      <c r="A63" s="64">
        <v>46198</v>
      </c>
      <c r="B63" s="58"/>
      <c r="C63" s="58"/>
      <c r="D63" s="58"/>
      <c r="E63" s="61"/>
    </row>
    <row r="64" spans="1:5" ht="15.4">
      <c r="A64" s="64">
        <v>46199</v>
      </c>
      <c r="B64" s="58"/>
      <c r="C64" s="58"/>
      <c r="D64" s="58"/>
      <c r="E64" s="61"/>
    </row>
    <row r="65" spans="1:5" ht="15.4">
      <c r="A65" s="64">
        <v>46200</v>
      </c>
      <c r="B65" s="58"/>
      <c r="C65" s="58"/>
      <c r="D65" s="58"/>
      <c r="E65" s="61"/>
    </row>
    <row r="66" spans="1:5" ht="15.4">
      <c r="A66" s="64">
        <v>46201</v>
      </c>
      <c r="B66" s="58"/>
      <c r="C66" s="58"/>
      <c r="D66" s="58"/>
      <c r="E66" s="61"/>
    </row>
    <row r="67" spans="1:5" ht="15.4">
      <c r="A67" s="64">
        <v>46202</v>
      </c>
      <c r="B67" s="58"/>
      <c r="C67" s="58"/>
      <c r="D67" s="58"/>
      <c r="E67" s="61"/>
    </row>
    <row r="68" spans="1:5" ht="15.4">
      <c r="A68" s="64">
        <v>46203</v>
      </c>
      <c r="B68" s="58"/>
      <c r="C68" s="58"/>
      <c r="D68" s="58"/>
      <c r="E68" s="61"/>
    </row>
    <row r="69" spans="1:5" ht="15.4">
      <c r="A69" s="64">
        <v>46204</v>
      </c>
      <c r="B69" s="58"/>
      <c r="C69" s="58"/>
      <c r="D69" s="58"/>
      <c r="E69" s="61"/>
    </row>
    <row r="70" spans="1:5" ht="15.4">
      <c r="A70" s="64">
        <v>46205</v>
      </c>
      <c r="B70" s="58"/>
      <c r="C70" s="58"/>
      <c r="D70" s="58"/>
      <c r="E70" s="61"/>
    </row>
    <row r="71" spans="1:5" ht="15.4">
      <c r="A71" s="64">
        <v>46206</v>
      </c>
      <c r="B71" s="58"/>
      <c r="C71" s="58"/>
      <c r="D71" s="58"/>
      <c r="E71" s="61"/>
    </row>
    <row r="72" spans="1:5" ht="15.4">
      <c r="A72" s="64">
        <v>46207</v>
      </c>
      <c r="B72" s="58"/>
      <c r="C72" s="58"/>
      <c r="D72" s="58"/>
      <c r="E72" s="61"/>
    </row>
    <row r="73" spans="1:5" ht="15.4">
      <c r="A73" s="64">
        <v>46208</v>
      </c>
      <c r="B73" s="58"/>
      <c r="C73" s="58"/>
      <c r="D73" s="58"/>
      <c r="E73" s="61"/>
    </row>
    <row r="74" spans="1:5" ht="15.4">
      <c r="A74" s="64">
        <v>46209</v>
      </c>
      <c r="B74" s="58"/>
      <c r="C74" s="58"/>
      <c r="D74" s="58"/>
      <c r="E74" s="61"/>
    </row>
    <row r="75" spans="1:5" ht="15.4">
      <c r="A75" s="64">
        <v>46210</v>
      </c>
      <c r="B75" s="58"/>
      <c r="C75" s="58"/>
      <c r="D75" s="58"/>
      <c r="E75" s="61"/>
    </row>
    <row r="76" spans="1:5" ht="15.4">
      <c r="A76" s="64">
        <v>46211</v>
      </c>
      <c r="B76" s="58"/>
      <c r="C76" s="58"/>
      <c r="D76" s="58"/>
      <c r="E76" s="61"/>
    </row>
    <row r="77" spans="1:5" ht="15.4">
      <c r="A77" s="64">
        <v>46212</v>
      </c>
      <c r="B77" s="58"/>
      <c r="C77" s="58"/>
      <c r="D77" s="58"/>
      <c r="E77" s="61"/>
    </row>
    <row r="78" spans="1:5" ht="15.4">
      <c r="A78" s="64">
        <v>46213</v>
      </c>
      <c r="B78" s="58"/>
      <c r="C78" s="58"/>
      <c r="D78" s="58"/>
      <c r="E78" s="61"/>
    </row>
    <row r="79" spans="1:5" ht="15.4">
      <c r="A79" s="64">
        <v>46214</v>
      </c>
      <c r="B79" s="58"/>
      <c r="C79" s="58"/>
      <c r="D79" s="58"/>
      <c r="E79" s="61"/>
    </row>
    <row r="80" spans="1:5" ht="15.4">
      <c r="A80" s="64">
        <v>46215</v>
      </c>
      <c r="B80" s="58"/>
      <c r="C80" s="58"/>
      <c r="D80" s="58"/>
      <c r="E80" s="61"/>
    </row>
    <row r="81" spans="1:5" ht="15.4">
      <c r="A81" s="64">
        <v>46216</v>
      </c>
      <c r="B81" s="58"/>
      <c r="C81" s="58"/>
      <c r="D81" s="58"/>
      <c r="E81" s="61"/>
    </row>
    <row r="82" spans="1:5" ht="15.4">
      <c r="A82" s="64">
        <v>46217</v>
      </c>
      <c r="B82" s="58"/>
      <c r="C82" s="58"/>
      <c r="D82" s="58"/>
      <c r="E82" s="61"/>
    </row>
    <row r="83" spans="1:5" ht="15.4">
      <c r="A83" s="64">
        <v>46218</v>
      </c>
      <c r="B83" s="58"/>
      <c r="C83" s="58"/>
      <c r="D83" s="58"/>
      <c r="E83" s="61"/>
    </row>
    <row r="84" spans="1:5" ht="15.4">
      <c r="A84" s="64">
        <v>46219</v>
      </c>
      <c r="B84" s="58"/>
      <c r="C84" s="58"/>
      <c r="D84" s="58"/>
      <c r="E84" s="61"/>
    </row>
    <row r="85" spans="1:5" ht="15.4">
      <c r="A85" s="64">
        <v>46220</v>
      </c>
      <c r="B85" s="58"/>
      <c r="C85" s="58"/>
      <c r="D85" s="58"/>
      <c r="E85" s="61"/>
    </row>
    <row r="86" spans="1:5" ht="15.4">
      <c r="A86" s="64">
        <v>46221</v>
      </c>
      <c r="B86" s="58"/>
      <c r="C86" s="58"/>
      <c r="D86" s="58"/>
      <c r="E86" s="61"/>
    </row>
    <row r="87" spans="1:5" ht="15.4">
      <c r="A87" s="64">
        <v>46222</v>
      </c>
      <c r="B87" s="58"/>
      <c r="C87" s="58"/>
      <c r="D87" s="58"/>
      <c r="E87" s="61"/>
    </row>
    <row r="88" spans="1:5" ht="15.4">
      <c r="A88" s="64">
        <v>46223</v>
      </c>
      <c r="B88" s="58"/>
      <c r="C88" s="58"/>
      <c r="D88" s="58"/>
      <c r="E88" s="61"/>
    </row>
    <row r="89" spans="1:5" ht="15.4">
      <c r="A89" s="64">
        <v>46224</v>
      </c>
      <c r="B89" s="58"/>
      <c r="C89" s="58"/>
      <c r="D89" s="58"/>
      <c r="E89" s="61"/>
    </row>
    <row r="90" spans="1:5" ht="15.4">
      <c r="A90" s="64">
        <v>46225</v>
      </c>
      <c r="B90" s="58"/>
      <c r="C90" s="58"/>
      <c r="D90" s="58"/>
      <c r="E90" s="61"/>
    </row>
    <row r="91" spans="1:5" ht="15.4">
      <c r="A91" s="64">
        <v>46226</v>
      </c>
      <c r="B91" s="58"/>
      <c r="C91" s="58"/>
      <c r="D91" s="58"/>
      <c r="E91" s="61"/>
    </row>
    <row r="92" spans="1:5" ht="15.4">
      <c r="A92" s="64">
        <v>46227</v>
      </c>
      <c r="B92" s="58"/>
      <c r="C92" s="58"/>
      <c r="D92" s="58"/>
      <c r="E92" s="61"/>
    </row>
    <row r="93" spans="1:5" ht="15.4">
      <c r="A93" s="64">
        <v>46228</v>
      </c>
      <c r="B93" s="58"/>
      <c r="C93" s="58"/>
      <c r="D93" s="58"/>
      <c r="E93" s="61"/>
    </row>
  </sheetData>
  <mergeCells count="3">
    <mergeCell ref="C2:E5"/>
    <mergeCell ref="B6:C6"/>
    <mergeCell ref="D6:E6"/>
  </mergeCells>
  <pageMargins left="0.51181102362204722" right="0.51181102362204722" top="0.55118110236220474" bottom="0.55118110236220474" header="0.31496062992125984" footer="0.31496062992125984"/>
  <pageSetup scale="32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a9ac20b-8dc5-49c1-a68a-30fc4d6930a1" xsi:nil="true"/>
    <lcf76f155ced4ddcb4097134ff3c332f xmlns="9140daf3-b17c-4d0b-be2e-0a12b28659ba">
      <Terms xmlns="http://schemas.microsoft.com/office/infopath/2007/PartnerControls"/>
    </lcf76f155ced4ddcb4097134ff3c332f>
    <Fecha xmlns="9140daf3-b17c-4d0b-be2e-0a12b28659ba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D3D6E82383C8B40A3094AFB3BA614FD" ma:contentTypeVersion="16" ma:contentTypeDescription="Create a new document." ma:contentTypeScope="" ma:versionID="6b77ee1a877a4fdda801f2fc8c48aefc">
  <xsd:schema xmlns:xsd="http://www.w3.org/2001/XMLSchema" xmlns:xs="http://www.w3.org/2001/XMLSchema" xmlns:p="http://schemas.microsoft.com/office/2006/metadata/properties" xmlns:ns2="9140daf3-b17c-4d0b-be2e-0a12b28659ba" xmlns:ns3="ea9ac20b-8dc5-49c1-a68a-30fc4d6930a1" targetNamespace="http://schemas.microsoft.com/office/2006/metadata/properties" ma:root="true" ma:fieldsID="e66a85ae37b3b90be51a06ebc4d6d996" ns2:_="" ns3:_="">
    <xsd:import namespace="9140daf3-b17c-4d0b-be2e-0a12b28659ba"/>
    <xsd:import namespace="ea9ac20b-8dc5-49c1-a68a-30fc4d6930a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BillingMetadata" minOccurs="0"/>
                <xsd:element ref="ns2:Fech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40daf3-b17c-4d0b-be2e-0a12b28659b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c2231ce5-edc9-4cf3-bcdc-afedc95ebd1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  <xsd:element name="Fecha" ma:index="22" nillable="true" ma:displayName="Fecha" ma:format="DateOnly" ma:internalName="Fecha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9ac20b-8dc5-49c1-a68a-30fc4d6930a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3d3110e-50f5-49a4-9188-280243a155a5}" ma:internalName="TaxCatchAll" ma:showField="CatchAllData" ma:web="ea9ac20b-8dc5-49c1-a68a-30fc4d6930a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7CFD800-44DE-4EAD-9117-EA08D950EC6E}"/>
</file>

<file path=customXml/itemProps2.xml><?xml version="1.0" encoding="utf-8"?>
<ds:datastoreItem xmlns:ds="http://schemas.openxmlformats.org/officeDocument/2006/customXml" ds:itemID="{3C1F1F8F-1265-4D12-8855-EB5C49B3C9BA}"/>
</file>

<file path=customXml/itemProps3.xml><?xml version="1.0" encoding="utf-8"?>
<ds:datastoreItem xmlns:ds="http://schemas.openxmlformats.org/officeDocument/2006/customXml" ds:itemID="{7D1CEB9B-8AE5-4D65-8E95-9AFFFEF99C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ALBERTO ENRIQUE FALQUEZ FIGUEROA</dc:creator>
  <cp:keywords/>
  <dc:description/>
  <cp:lastModifiedBy>CRISTIAN DANIEL VILLARREAL PARROQUIANO</cp:lastModifiedBy>
  <cp:revision/>
  <dcterms:created xsi:type="dcterms:W3CDTF">2026-05-06T20:55:26Z</dcterms:created>
  <dcterms:modified xsi:type="dcterms:W3CDTF">2026-05-14T22:45:56Z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0x010100FD3D6E82383C8B40A3094AFB3BA614FD</vt:lpwstr>
  </property>
  <property fmtid="{D5CDD505-2E9C-101B-9397-08002B2CF9AE}" pid="3" name="MediaServiceImageTags">
    <vt:lpwstr/>
  </property>
</Properties>
</file>