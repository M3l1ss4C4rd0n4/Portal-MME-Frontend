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energiacol.sharepoint.com/sites/msteams_c07b9d_609752/Shared Documents/General/19. PMO/1. Contratos OR/"/>
    </mc:Choice>
  </mc:AlternateContent>
  <xr:revisionPtr revIDLastSave="2592" documentId="8_{E222DCDB-224A-4BAA-85D3-B197E45B5854}" xr6:coauthVersionLast="47" xr6:coauthVersionMax="47" xr10:uidLastSave="{A980CDA2-0403-4B19-8DA3-065BA6851FF9}"/>
  <bookViews>
    <workbookView xWindow="-98" yWindow="-98" windowWidth="21795" windowHeight="12975" tabRatio="955" firstSheet="5" activeTab="8" xr2:uid="{35CB9388-605D-4B7A-AAAC-3428EC08C937}"/>
  </bookViews>
  <sheets>
    <sheet name="Base General OR_Inicial" sheetId="6" state="hidden" r:id="rId1"/>
    <sheet name="Gráficas_General" sheetId="23" r:id="rId2"/>
    <sheet name="TD " sheetId="22" r:id="rId3"/>
    <sheet name="Base General_OR_Inicial" sheetId="7" r:id="rId4"/>
    <sheet name="Base" sheetId="2" r:id="rId5"/>
    <sheet name="TD" sheetId="5" r:id="rId6"/>
    <sheet name="Hoja3" sheetId="26" r:id="rId7"/>
    <sheet name="Hoja1" sheetId="24" r:id="rId8"/>
    <sheet name="Proyectado Obras Civiles" sheetId="14" r:id="rId9"/>
    <sheet name="Proyectado Internas" sheetId="15" r:id="rId10"/>
    <sheet name="Proyectado Usuarios" sheetId="11" r:id="rId11"/>
    <sheet name="Proyectado Potencia" sheetId="16" r:id="rId12"/>
    <sheet name="Reportado Obras Civiles" sheetId="12" r:id="rId13"/>
    <sheet name="Reportado Internas" sheetId="17" r:id="rId14"/>
    <sheet name="Reportado Usuarios" sheetId="18" r:id="rId15"/>
    <sheet name="Reportado Potencia" sheetId="19" r:id="rId16"/>
    <sheet name="Seguimiento Diario" sheetId="4" r:id="rId17"/>
    <sheet name="Curva S_GECELCA" sheetId="9" state="hidden" r:id="rId18"/>
    <sheet name="Curva S_Becerril" sheetId="10" state="hidden" r:id="rId19"/>
  </sheets>
  <externalReferences>
    <externalReference r:id="rId20"/>
  </externalReferences>
  <definedNames>
    <definedName name="_xlnm._FilterDatabase" localSheetId="4" hidden="1">Base!$C$2:$P$53</definedName>
    <definedName name="_xlnm._FilterDatabase" localSheetId="0" hidden="1">'Base General OR_Inicial'!$A$1:$M$20</definedName>
    <definedName name="_xlnm._FilterDatabase" localSheetId="3" hidden="1">'Base General_OR_Inicial'!$A$1:$K$20</definedName>
  </definedNames>
  <calcPr calcId="191028"/>
  <pivotCaches>
    <pivotCache cacheId="0" r:id="rId21"/>
    <pivotCache cacheId="1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3" i="16" l="1"/>
  <c r="Z3" i="16"/>
  <c r="AA3" i="16"/>
  <c r="AB3" i="16"/>
  <c r="AC3" i="16"/>
  <c r="AD3" i="16"/>
  <c r="AE3" i="16"/>
  <c r="AF3" i="16"/>
  <c r="AG3" i="16"/>
  <c r="AE4" i="16"/>
  <c r="AF4" i="16"/>
  <c r="AG4" i="16"/>
  <c r="Y5" i="16"/>
  <c r="Z5" i="16"/>
  <c r="AA5" i="16"/>
  <c r="AB5" i="16"/>
  <c r="AC5" i="16"/>
  <c r="AD5" i="16"/>
  <c r="AE5" i="16"/>
  <c r="AF5" i="16"/>
  <c r="AG5" i="16"/>
  <c r="Y6" i="16"/>
  <c r="Z6" i="16"/>
  <c r="AA6" i="16"/>
  <c r="AB6" i="16"/>
  <c r="AC6" i="16"/>
  <c r="AD6" i="16"/>
  <c r="AE6" i="16"/>
  <c r="AF6" i="16"/>
  <c r="AG6" i="16"/>
  <c r="Y7" i="16"/>
  <c r="Z7" i="16"/>
  <c r="AA7" i="16"/>
  <c r="AB7" i="16"/>
  <c r="AC7" i="16"/>
  <c r="AD7" i="16"/>
  <c r="AE7" i="16"/>
  <c r="AF7" i="16"/>
  <c r="AG7" i="16"/>
  <c r="Y8" i="16"/>
  <c r="Z8" i="16"/>
  <c r="AA8" i="16"/>
  <c r="AB8" i="16"/>
  <c r="AC8" i="16"/>
  <c r="AD8" i="16"/>
  <c r="AE8" i="16"/>
  <c r="AF8" i="16"/>
  <c r="AG8" i="16"/>
  <c r="Y9" i="16"/>
  <c r="Z9" i="16"/>
  <c r="AA9" i="16"/>
  <c r="AB9" i="16"/>
  <c r="AC9" i="16"/>
  <c r="AD9" i="16"/>
  <c r="AE9" i="16"/>
  <c r="AF9" i="16"/>
  <c r="AG9" i="16"/>
  <c r="Y10" i="16"/>
  <c r="Z10" i="16"/>
  <c r="AA10" i="16"/>
  <c r="AB10" i="16"/>
  <c r="AC10" i="16"/>
  <c r="AD10" i="16"/>
  <c r="AE10" i="16"/>
  <c r="AF10" i="16"/>
  <c r="AG10" i="16"/>
  <c r="Y11" i="16"/>
  <c r="Z11" i="16"/>
  <c r="AA11" i="16"/>
  <c r="AB11" i="16"/>
  <c r="AC11" i="16"/>
  <c r="AD11" i="16"/>
  <c r="AE11" i="16"/>
  <c r="AF11" i="16"/>
  <c r="AG11" i="16"/>
  <c r="Y12" i="16"/>
  <c r="Z12" i="16"/>
  <c r="AA12" i="16"/>
  <c r="AB12" i="16"/>
  <c r="AC12" i="16"/>
  <c r="AD12" i="16"/>
  <c r="AE12" i="16"/>
  <c r="AF12" i="16"/>
  <c r="AG12" i="16"/>
  <c r="Y13" i="16"/>
  <c r="Z13" i="16"/>
  <c r="AA13" i="16"/>
  <c r="AB13" i="16"/>
  <c r="AC13" i="16"/>
  <c r="AD13" i="16"/>
  <c r="AE13" i="16"/>
  <c r="AF13" i="16"/>
  <c r="AG13" i="16"/>
  <c r="Y14" i="16"/>
  <c r="Z14" i="16"/>
  <c r="AA14" i="16"/>
  <c r="AB14" i="16"/>
  <c r="AC14" i="16"/>
  <c r="AD14" i="16"/>
  <c r="AE14" i="16"/>
  <c r="AF14" i="16"/>
  <c r="AG14" i="16"/>
  <c r="Y15" i="16"/>
  <c r="Z15" i="16"/>
  <c r="AA15" i="16"/>
  <c r="AB15" i="16"/>
  <c r="AC15" i="16"/>
  <c r="AD15" i="16"/>
  <c r="AE15" i="16"/>
  <c r="AF15" i="16"/>
  <c r="AG15" i="16"/>
  <c r="Y16" i="16"/>
  <c r="Z16" i="16"/>
  <c r="AA16" i="16"/>
  <c r="AB16" i="16"/>
  <c r="AC16" i="16"/>
  <c r="AD16" i="16"/>
  <c r="AE16" i="16"/>
  <c r="AF16" i="16"/>
  <c r="AG16" i="16"/>
  <c r="Y17" i="16"/>
  <c r="Z17" i="16"/>
  <c r="AA17" i="16"/>
  <c r="AB17" i="16"/>
  <c r="AC17" i="16"/>
  <c r="AD17" i="16"/>
  <c r="AE17" i="16"/>
  <c r="AF17" i="16"/>
  <c r="AG17" i="16"/>
  <c r="Y18" i="16"/>
  <c r="Z18" i="16"/>
  <c r="AA18" i="16"/>
  <c r="AB18" i="16"/>
  <c r="AC18" i="16"/>
  <c r="AD18" i="16"/>
  <c r="AE18" i="16"/>
  <c r="AF18" i="16"/>
  <c r="AG18" i="16"/>
  <c r="Z2" i="16"/>
  <c r="AA2" i="16"/>
  <c r="AB2" i="16"/>
  <c r="AC2" i="16"/>
  <c r="AD2" i="16"/>
  <c r="AE2" i="16"/>
  <c r="AF2" i="16"/>
  <c r="AG2" i="16"/>
  <c r="U4" i="11"/>
  <c r="V4" i="11"/>
  <c r="W4" i="11"/>
  <c r="X4" i="11"/>
  <c r="Y4" i="11"/>
  <c r="Y4" i="16" s="1"/>
  <c r="Z4" i="11"/>
  <c r="Z4" i="16" s="1"/>
  <c r="AA4" i="11"/>
  <c r="AA4" i="16" s="1"/>
  <c r="AB4" i="11"/>
  <c r="AC4" i="11" s="1"/>
  <c r="K5" i="24"/>
  <c r="K6" i="24"/>
  <c r="K7" i="24"/>
  <c r="K8" i="24"/>
  <c r="K9" i="24"/>
  <c r="K10" i="24"/>
  <c r="K11" i="24"/>
  <c r="K12" i="24"/>
  <c r="K13" i="24"/>
  <c r="K14" i="24"/>
  <c r="K15" i="24"/>
  <c r="K16" i="24"/>
  <c r="K17" i="24"/>
  <c r="K18" i="24"/>
  <c r="K4" i="24"/>
  <c r="H20" i="24"/>
  <c r="G20" i="24"/>
  <c r="F20" i="24"/>
  <c r="E211" i="23"/>
  <c r="E212" i="23"/>
  <c r="E213" i="23"/>
  <c r="F211" i="23"/>
  <c r="F212" i="23"/>
  <c r="M180" i="23"/>
  <c r="M181" i="23" s="1"/>
  <c r="M182" i="23" s="1"/>
  <c r="M183" i="23" s="1"/>
  <c r="M184" i="23" s="1"/>
  <c r="M185" i="23" s="1"/>
  <c r="M186" i="23" s="1"/>
  <c r="M187" i="23" s="1"/>
  <c r="M188" i="23" s="1"/>
  <c r="M189" i="23" s="1"/>
  <c r="M190" i="23" s="1"/>
  <c r="M191" i="23" s="1"/>
  <c r="M192" i="23" s="1"/>
  <c r="L179" i="23"/>
  <c r="L180" i="23"/>
  <c r="L181" i="23"/>
  <c r="L182" i="23"/>
  <c r="L183" i="23"/>
  <c r="L184" i="23"/>
  <c r="L185" i="23"/>
  <c r="L186" i="23"/>
  <c r="L187" i="23"/>
  <c r="L188" i="23"/>
  <c r="L189" i="23"/>
  <c r="L190" i="23"/>
  <c r="L191" i="23"/>
  <c r="L192" i="23"/>
  <c r="L178" i="23"/>
  <c r="G180" i="23"/>
  <c r="G181" i="23" s="1"/>
  <c r="G182" i="23" s="1"/>
  <c r="G183" i="23" s="1"/>
  <c r="G184" i="23" s="1"/>
  <c r="G185" i="23" s="1"/>
  <c r="G186" i="23" s="1"/>
  <c r="G187" i="23" s="1"/>
  <c r="G188" i="23" s="1"/>
  <c r="G189" i="23" s="1"/>
  <c r="G190" i="23" s="1"/>
  <c r="G191" i="23" s="1"/>
  <c r="G192" i="23" s="1"/>
  <c r="G193" i="23" s="1"/>
  <c r="G194" i="23" s="1"/>
  <c r="G195" i="23" s="1"/>
  <c r="G196" i="23" s="1"/>
  <c r="G197" i="23" s="1"/>
  <c r="G198" i="23" s="1"/>
  <c r="G199" i="23" s="1"/>
  <c r="G200" i="23" s="1"/>
  <c r="G201" i="23" s="1"/>
  <c r="G202" i="23" s="1"/>
  <c r="G203" i="23" s="1"/>
  <c r="G204" i="23" s="1"/>
  <c r="G205" i="23" s="1"/>
  <c r="G206" i="23" s="1"/>
  <c r="G207" i="23" s="1"/>
  <c r="G208" i="23" s="1"/>
  <c r="G209" i="23" s="1"/>
  <c r="G210" i="23" s="1"/>
  <c r="G179" i="23"/>
  <c r="G178" i="23"/>
  <c r="F180" i="23"/>
  <c r="F181" i="23"/>
  <c r="F182" i="23"/>
  <c r="F183" i="23"/>
  <c r="F184" i="23"/>
  <c r="F185" i="23"/>
  <c r="F186" i="23"/>
  <c r="F187" i="23"/>
  <c r="F188" i="23" s="1"/>
  <c r="F189" i="23" s="1"/>
  <c r="F190" i="23" s="1"/>
  <c r="F191" i="23" s="1"/>
  <c r="F192" i="23" s="1"/>
  <c r="F193" i="23" s="1"/>
  <c r="F194" i="23" s="1"/>
  <c r="F195" i="23" s="1"/>
  <c r="F196" i="23" s="1"/>
  <c r="F197" i="23" s="1"/>
  <c r="F198" i="23" s="1"/>
  <c r="F199" i="23" s="1"/>
  <c r="F200" i="23" s="1"/>
  <c r="F201" i="23" s="1"/>
  <c r="F202" i="23" s="1"/>
  <c r="F203" i="23" s="1"/>
  <c r="F204" i="23" s="1"/>
  <c r="F205" i="23" s="1"/>
  <c r="F206" i="23" s="1"/>
  <c r="F207" i="23" s="1"/>
  <c r="F208" i="23" s="1"/>
  <c r="F209" i="23" s="1"/>
  <c r="F210" i="23" s="1"/>
  <c r="F213" i="23" s="1"/>
  <c r="F179" i="23"/>
  <c r="F178" i="23"/>
  <c r="E179" i="23"/>
  <c r="E180" i="23"/>
  <c r="E181" i="23"/>
  <c r="E182" i="23"/>
  <c r="E183" i="23"/>
  <c r="E184" i="23"/>
  <c r="E185" i="23"/>
  <c r="I185" i="23" s="1"/>
  <c r="E186" i="23"/>
  <c r="I186" i="23" s="1"/>
  <c r="E187" i="23"/>
  <c r="E188" i="23"/>
  <c r="E189" i="23"/>
  <c r="E190" i="23"/>
  <c r="I190" i="23" s="1"/>
  <c r="E191" i="23"/>
  <c r="I191" i="23" s="1"/>
  <c r="E192" i="23"/>
  <c r="E193" i="23"/>
  <c r="I193" i="23" s="1"/>
  <c r="E194" i="23"/>
  <c r="I194" i="23" s="1"/>
  <c r="E195" i="23"/>
  <c r="E196" i="23"/>
  <c r="E197" i="23"/>
  <c r="E198" i="23"/>
  <c r="E199" i="23"/>
  <c r="E200" i="23"/>
  <c r="E201" i="23"/>
  <c r="E202" i="23"/>
  <c r="E203" i="23"/>
  <c r="E204" i="23"/>
  <c r="E205" i="23"/>
  <c r="E206" i="23"/>
  <c r="E207" i="23"/>
  <c r="E208" i="23"/>
  <c r="E209" i="23"/>
  <c r="E210" i="23"/>
  <c r="E178" i="23"/>
  <c r="D179" i="23"/>
  <c r="D180" i="23"/>
  <c r="D181" i="23"/>
  <c r="D182" i="23"/>
  <c r="D183" i="23"/>
  <c r="D184" i="23"/>
  <c r="D185" i="23"/>
  <c r="H185" i="23" s="1"/>
  <c r="D186" i="23"/>
  <c r="H186" i="23" s="1"/>
  <c r="D187" i="23"/>
  <c r="D188" i="23"/>
  <c r="D189" i="23"/>
  <c r="D190" i="23"/>
  <c r="H190" i="23" s="1"/>
  <c r="D191" i="23"/>
  <c r="D192" i="23"/>
  <c r="D193" i="23"/>
  <c r="H193" i="23" s="1"/>
  <c r="D194" i="23"/>
  <c r="H194" i="23" s="1"/>
  <c r="D195" i="23"/>
  <c r="D196" i="23"/>
  <c r="D197" i="23"/>
  <c r="D198" i="23"/>
  <c r="D199" i="23"/>
  <c r="D200" i="23"/>
  <c r="D201" i="23"/>
  <c r="D202" i="23"/>
  <c r="D203" i="23"/>
  <c r="D204" i="23"/>
  <c r="D205" i="23"/>
  <c r="D206" i="23"/>
  <c r="D207" i="23"/>
  <c r="D208" i="23"/>
  <c r="D209" i="23"/>
  <c r="D210" i="23"/>
  <c r="D211" i="23"/>
  <c r="D212" i="23"/>
  <c r="D213" i="23"/>
  <c r="D178" i="23"/>
  <c r="H197" i="23"/>
  <c r="H196" i="23"/>
  <c r="I195" i="23"/>
  <c r="H195" i="23"/>
  <c r="I192" i="23"/>
  <c r="H192" i="23"/>
  <c r="H191" i="23"/>
  <c r="I189" i="23"/>
  <c r="H189" i="23"/>
  <c r="I188" i="23"/>
  <c r="H188" i="23"/>
  <c r="I187" i="23"/>
  <c r="H187" i="23"/>
  <c r="I184" i="23"/>
  <c r="K184" i="23" s="1"/>
  <c r="H184" i="23"/>
  <c r="J184" i="23" s="1"/>
  <c r="M178" i="23"/>
  <c r="M179" i="23" s="1"/>
  <c r="AA93" i="23"/>
  <c r="AA94" i="23"/>
  <c r="AA95" i="23"/>
  <c r="AA96" i="23"/>
  <c r="AA97" i="23"/>
  <c r="AA98" i="23"/>
  <c r="AA99" i="23"/>
  <c r="AA100" i="23"/>
  <c r="AA101" i="23" s="1"/>
  <c r="AA102" i="23" s="1"/>
  <c r="T97" i="23"/>
  <c r="U97" i="23"/>
  <c r="V97" i="23"/>
  <c r="W97" i="23"/>
  <c r="X97" i="23"/>
  <c r="Y97" i="23"/>
  <c r="V110" i="23"/>
  <c r="V109" i="23"/>
  <c r="W108" i="23"/>
  <c r="V108" i="23"/>
  <c r="W107" i="23"/>
  <c r="V107" i="23"/>
  <c r="W106" i="23"/>
  <c r="V106" i="23"/>
  <c r="W105" i="23"/>
  <c r="V105" i="23"/>
  <c r="W104" i="23"/>
  <c r="V104" i="23"/>
  <c r="W103" i="23"/>
  <c r="V103" i="23"/>
  <c r="W102" i="23"/>
  <c r="V102" i="23"/>
  <c r="W101" i="23"/>
  <c r="V101" i="23"/>
  <c r="W100" i="23"/>
  <c r="V100" i="23"/>
  <c r="W99" i="23"/>
  <c r="V99" i="23"/>
  <c r="T99" i="23"/>
  <c r="T100" i="23" s="1"/>
  <c r="T101" i="23" s="1"/>
  <c r="T102" i="23" s="1"/>
  <c r="T103" i="23" s="1"/>
  <c r="T104" i="23" s="1"/>
  <c r="T105" i="23" s="1"/>
  <c r="T106" i="23" s="1"/>
  <c r="T107" i="23" s="1"/>
  <c r="T108" i="23" s="1"/>
  <c r="T109" i="23" s="1"/>
  <c r="T110" i="23" s="1"/>
  <c r="T111" i="23" s="1"/>
  <c r="T112" i="23" s="1"/>
  <c r="T113" i="23" s="1"/>
  <c r="T114" i="23" s="1"/>
  <c r="T115" i="23" s="1"/>
  <c r="T116" i="23" s="1"/>
  <c r="T117" i="23" s="1"/>
  <c r="T118" i="23" s="1"/>
  <c r="T119" i="23" s="1"/>
  <c r="T120" i="23" s="1"/>
  <c r="T121" i="23" s="1"/>
  <c r="T122" i="23" s="1"/>
  <c r="T123" i="23" s="1"/>
  <c r="T124" i="23" s="1"/>
  <c r="T125" i="23" s="1"/>
  <c r="T126" i="23" s="1"/>
  <c r="X98" i="23"/>
  <c r="X99" i="23" s="1"/>
  <c r="X100" i="23" s="1"/>
  <c r="X101" i="23" s="1"/>
  <c r="X102" i="23" s="1"/>
  <c r="X103" i="23" s="1"/>
  <c r="X104" i="23" s="1"/>
  <c r="X105" i="23" s="1"/>
  <c r="W98" i="23"/>
  <c r="V98" i="23"/>
  <c r="U98" i="23"/>
  <c r="U99" i="23" s="1"/>
  <c r="U100" i="23" s="1"/>
  <c r="U101" i="23" s="1"/>
  <c r="U102" i="23" s="1"/>
  <c r="U103" i="23" s="1"/>
  <c r="U104" i="23" s="1"/>
  <c r="U105" i="23" s="1"/>
  <c r="U106" i="23" s="1"/>
  <c r="U107" i="23" s="1"/>
  <c r="U108" i="23" s="1"/>
  <c r="U109" i="23" s="1"/>
  <c r="U110" i="23" s="1"/>
  <c r="U111" i="23" s="1"/>
  <c r="U112" i="23" s="1"/>
  <c r="U113" i="23" s="1"/>
  <c r="U114" i="23" s="1"/>
  <c r="U115" i="23" s="1"/>
  <c r="T98" i="23"/>
  <c r="AA92" i="23"/>
  <c r="AA91" i="23"/>
  <c r="J57" i="11"/>
  <c r="J58" i="11" s="1"/>
  <c r="K57" i="11"/>
  <c r="K58" i="11" s="1"/>
  <c r="L57" i="11"/>
  <c r="L58" i="11" s="1"/>
  <c r="M57" i="11"/>
  <c r="U57" i="11"/>
  <c r="U58" i="11" s="1"/>
  <c r="V57" i="11"/>
  <c r="W57" i="11"/>
  <c r="W58" i="11" s="1"/>
  <c r="X57" i="11"/>
  <c r="X58" i="11" s="1"/>
  <c r="Y57" i="11"/>
  <c r="Y58" i="11" s="1"/>
  <c r="Z57" i="11"/>
  <c r="Z58" i="11" s="1"/>
  <c r="AB57" i="11"/>
  <c r="AC57" i="11"/>
  <c r="AD57" i="11"/>
  <c r="AE57" i="11"/>
  <c r="AF57" i="11"/>
  <c r="AG57" i="11"/>
  <c r="I57" i="11"/>
  <c r="I58" i="11" s="1"/>
  <c r="H57" i="11"/>
  <c r="H58" i="11" s="1"/>
  <c r="G57" i="11"/>
  <c r="V58" i="11"/>
  <c r="M58" i="11"/>
  <c r="N19" i="11"/>
  <c r="N57" i="11" s="1"/>
  <c r="N58" i="11" s="1"/>
  <c r="G118" i="23"/>
  <c r="G119" i="23"/>
  <c r="G120" i="23"/>
  <c r="G121" i="23"/>
  <c r="G122" i="23"/>
  <c r="F97" i="23"/>
  <c r="F98" i="23" s="1"/>
  <c r="F99" i="23" s="1"/>
  <c r="F100" i="23" s="1"/>
  <c r="F101" i="23" s="1"/>
  <c r="F102" i="23" s="1"/>
  <c r="F103" i="23" s="1"/>
  <c r="F104" i="23" s="1"/>
  <c r="F105" i="23" s="1"/>
  <c r="F106" i="23" s="1"/>
  <c r="F107" i="23" s="1"/>
  <c r="F108" i="23" s="1"/>
  <c r="F109" i="23" s="1"/>
  <c r="G97" i="23"/>
  <c r="H97" i="23"/>
  <c r="J97" i="23" s="1"/>
  <c r="J98" i="23" s="1"/>
  <c r="I97" i="23"/>
  <c r="K97" i="23"/>
  <c r="M97" i="23"/>
  <c r="G98" i="23"/>
  <c r="G99" i="23" s="1"/>
  <c r="G100" i="23" s="1"/>
  <c r="G101" i="23" s="1"/>
  <c r="G102" i="23" s="1"/>
  <c r="G103" i="23" s="1"/>
  <c r="G104" i="23" s="1"/>
  <c r="G105" i="23" s="1"/>
  <c r="G106" i="23" s="1"/>
  <c r="G107" i="23" s="1"/>
  <c r="G108" i="23" s="1"/>
  <c r="G109" i="23" s="1"/>
  <c r="G110" i="23" s="1"/>
  <c r="G111" i="23" s="1"/>
  <c r="G112" i="23" s="1"/>
  <c r="G113" i="23" s="1"/>
  <c r="G114" i="23" s="1"/>
  <c r="G115" i="23" s="1"/>
  <c r="G116" i="23" s="1"/>
  <c r="G117" i="23" s="1"/>
  <c r="H110" i="23"/>
  <c r="H109" i="23"/>
  <c r="I108" i="23"/>
  <c r="H108" i="23"/>
  <c r="I107" i="23"/>
  <c r="H107" i="23"/>
  <c r="I106" i="23"/>
  <c r="H106" i="23"/>
  <c r="I105" i="23"/>
  <c r="H105" i="23"/>
  <c r="I104" i="23"/>
  <c r="H104" i="23"/>
  <c r="I103" i="23"/>
  <c r="H103" i="23"/>
  <c r="I102" i="23"/>
  <c r="H102" i="23"/>
  <c r="I101" i="23"/>
  <c r="H101" i="23"/>
  <c r="I100" i="23"/>
  <c r="H100" i="23"/>
  <c r="I99" i="23"/>
  <c r="H99" i="23"/>
  <c r="I98" i="23"/>
  <c r="H98" i="23"/>
  <c r="M91" i="23"/>
  <c r="M92" i="23" s="1"/>
  <c r="M93" i="23" s="1"/>
  <c r="M94" i="23" s="1"/>
  <c r="M95" i="23" s="1"/>
  <c r="M96" i="23" s="1"/>
  <c r="AF40" i="11"/>
  <c r="AG40" i="11"/>
  <c r="L47" i="11"/>
  <c r="R47" i="11"/>
  <c r="Z47" i="11"/>
  <c r="AA47" i="11"/>
  <c r="AB47" i="11"/>
  <c r="AC47" i="11"/>
  <c r="AD47" i="11"/>
  <c r="AE47" i="11"/>
  <c r="AF47" i="11"/>
  <c r="AG47" i="11"/>
  <c r="J48" i="11"/>
  <c r="K48" i="11"/>
  <c r="L48" i="11"/>
  <c r="M48" i="11"/>
  <c r="N48" i="11"/>
  <c r="O48" i="11"/>
  <c r="R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L49" i="11"/>
  <c r="R49" i="11"/>
  <c r="Z49" i="11"/>
  <c r="AA49" i="11"/>
  <c r="AB49" i="11"/>
  <c r="AC49" i="11"/>
  <c r="AD49" i="11"/>
  <c r="AE49" i="11"/>
  <c r="AF49" i="11"/>
  <c r="AG49" i="11"/>
  <c r="J50" i="11"/>
  <c r="K50" i="11"/>
  <c r="L50" i="11"/>
  <c r="O50" i="11"/>
  <c r="P50" i="11"/>
  <c r="Q50" i="11"/>
  <c r="R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L51" i="11"/>
  <c r="R51" i="11"/>
  <c r="Z51" i="11"/>
  <c r="AA51" i="11"/>
  <c r="AB51" i="11"/>
  <c r="AC51" i="11"/>
  <c r="AD51" i="11"/>
  <c r="AE51" i="11"/>
  <c r="AF51" i="11"/>
  <c r="AG51" i="11"/>
  <c r="L52" i="11"/>
  <c r="R52" i="11"/>
  <c r="Z52" i="11"/>
  <c r="AA52" i="11"/>
  <c r="AB52" i="11"/>
  <c r="AC52" i="11"/>
  <c r="AD52" i="11"/>
  <c r="AE52" i="11"/>
  <c r="AF52" i="11"/>
  <c r="AG52" i="11"/>
  <c r="I48" i="11"/>
  <c r="I50" i="11"/>
  <c r="L46" i="11"/>
  <c r="R46" i="11"/>
  <c r="Z46" i="11"/>
  <c r="AA46" i="11"/>
  <c r="AB46" i="11"/>
  <c r="AC46" i="11"/>
  <c r="AD46" i="11"/>
  <c r="AE46" i="11"/>
  <c r="AF46" i="11"/>
  <c r="AG46" i="11"/>
  <c r="L45" i="11"/>
  <c r="R45" i="11"/>
  <c r="Z45" i="11"/>
  <c r="AA45" i="11"/>
  <c r="AB45" i="11"/>
  <c r="AC45" i="11"/>
  <c r="AD45" i="11"/>
  <c r="AE45" i="11"/>
  <c r="AF45" i="11"/>
  <c r="AG45" i="11"/>
  <c r="H52" i="11"/>
  <c r="H51" i="11"/>
  <c r="H50" i="11"/>
  <c r="H49" i="11"/>
  <c r="H48" i="11"/>
  <c r="H47" i="11"/>
  <c r="H46" i="11"/>
  <c r="H45" i="11"/>
  <c r="G52" i="11"/>
  <c r="G51" i="11"/>
  <c r="G50" i="11"/>
  <c r="G49" i="11"/>
  <c r="G48" i="11"/>
  <c r="G47" i="11"/>
  <c r="G46" i="11"/>
  <c r="G45" i="11"/>
  <c r="J40" i="11"/>
  <c r="K40" i="11"/>
  <c r="L40" i="11"/>
  <c r="M40" i="11"/>
  <c r="N40" i="11"/>
  <c r="O40" i="11"/>
  <c r="P40" i="11"/>
  <c r="Q40" i="11"/>
  <c r="R40" i="11"/>
  <c r="S40" i="11"/>
  <c r="T40" i="11"/>
  <c r="I40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AA39" i="11"/>
  <c r="AB39" i="11"/>
  <c r="AC39" i="11"/>
  <c r="AD39" i="11"/>
  <c r="AE39" i="11"/>
  <c r="AF39" i="11"/>
  <c r="AG39" i="11"/>
  <c r="I39" i="11"/>
  <c r="H40" i="11"/>
  <c r="H39" i="11"/>
  <c r="G40" i="11"/>
  <c r="G39" i="11"/>
  <c r="AG41" i="11"/>
  <c r="AF41" i="11"/>
  <c r="AE41" i="11"/>
  <c r="AD41" i="11"/>
  <c r="AC41" i="11"/>
  <c r="AB41" i="11"/>
  <c r="AA41" i="11"/>
  <c r="Z21" i="18"/>
  <c r="AA21" i="18"/>
  <c r="AB21" i="18"/>
  <c r="AC21" i="18"/>
  <c r="AD21" i="18"/>
  <c r="AE21" i="18"/>
  <c r="AF21" i="18"/>
  <c r="AG21" i="18"/>
  <c r="AF21" i="11"/>
  <c r="AG21" i="11"/>
  <c r="Y29" i="11"/>
  <c r="Z29" i="11"/>
  <c r="AA29" i="11"/>
  <c r="AC29" i="11"/>
  <c r="AD29" i="11"/>
  <c r="AE29" i="11"/>
  <c r="AF29" i="11"/>
  <c r="AG29" i="11"/>
  <c r="Y30" i="11"/>
  <c r="Z30" i="11"/>
  <c r="AA30" i="11"/>
  <c r="AC30" i="11"/>
  <c r="AD30" i="11"/>
  <c r="AE30" i="11"/>
  <c r="AF30" i="11"/>
  <c r="AG30" i="11"/>
  <c r="Y31" i="11"/>
  <c r="Z31" i="11"/>
  <c r="AA31" i="11"/>
  <c r="AC31" i="11"/>
  <c r="AD31" i="11"/>
  <c r="AE31" i="11"/>
  <c r="AF31" i="11"/>
  <c r="AG31" i="11"/>
  <c r="Y32" i="11"/>
  <c r="Z32" i="11"/>
  <c r="AA32" i="11"/>
  <c r="AB32" i="11"/>
  <c r="AC32" i="11"/>
  <c r="AD32" i="11"/>
  <c r="AE32" i="11"/>
  <c r="AF32" i="11"/>
  <c r="AG32" i="11"/>
  <c r="AA33" i="11"/>
  <c r="AB33" i="11"/>
  <c r="AC33" i="11"/>
  <c r="AD33" i="11"/>
  <c r="AE33" i="11"/>
  <c r="AF33" i="11"/>
  <c r="AG33" i="11"/>
  <c r="AA34" i="11"/>
  <c r="AB34" i="11"/>
  <c r="AC34" i="11"/>
  <c r="AD34" i="11"/>
  <c r="AE34" i="11"/>
  <c r="AF34" i="11"/>
  <c r="AG34" i="11"/>
  <c r="AA35" i="11"/>
  <c r="AB35" i="11"/>
  <c r="AC35" i="11"/>
  <c r="AD35" i="11"/>
  <c r="AE35" i="11"/>
  <c r="AF35" i="11"/>
  <c r="AG35" i="11"/>
  <c r="Z28" i="11"/>
  <c r="AA28" i="11"/>
  <c r="AB28" i="11"/>
  <c r="AC28" i="11"/>
  <c r="AD28" i="11"/>
  <c r="AE28" i="11"/>
  <c r="AF28" i="11"/>
  <c r="AG28" i="11"/>
  <c r="AD4" i="11" l="1"/>
  <c r="AD4" i="16" s="1"/>
  <c r="AC4" i="16"/>
  <c r="AB4" i="16"/>
  <c r="L41" i="11"/>
  <c r="H41" i="11"/>
  <c r="AB58" i="11"/>
  <c r="AA58" i="11"/>
  <c r="AC58" i="11"/>
  <c r="AD58" i="11"/>
  <c r="AE58" i="11"/>
  <c r="AF58" i="11"/>
  <c r="AG58" i="11"/>
  <c r="K185" i="23"/>
  <c r="K186" i="23" s="1"/>
  <c r="K187" i="23" s="1"/>
  <c r="K188" i="23" s="1"/>
  <c r="K189" i="23" s="1"/>
  <c r="K190" i="23" s="1"/>
  <c r="J185" i="23"/>
  <c r="J186" i="23" s="1"/>
  <c r="J187" i="23" s="1"/>
  <c r="J188" i="23" s="1"/>
  <c r="J189" i="23" s="1"/>
  <c r="J190" i="23" s="1"/>
  <c r="J191" i="23" s="1"/>
  <c r="J192" i="23" s="1"/>
  <c r="O19" i="11"/>
  <c r="Y98" i="23"/>
  <c r="Y99" i="23" s="1"/>
  <c r="Y100" i="23" s="1"/>
  <c r="Y101" i="23" s="1"/>
  <c r="Y102" i="23" s="1"/>
  <c r="Y103" i="23" s="1"/>
  <c r="AA53" i="11"/>
  <c r="AC53" i="11"/>
  <c r="H53" i="11"/>
  <c r="Z53" i="11"/>
  <c r="L53" i="11"/>
  <c r="AB53" i="11"/>
  <c r="AG53" i="11"/>
  <c r="R53" i="11"/>
  <c r="AF53" i="11"/>
  <c r="AE53" i="11"/>
  <c r="AD53" i="11"/>
  <c r="R41" i="11"/>
  <c r="F110" i="23"/>
  <c r="F111" i="23" s="1"/>
  <c r="F112" i="23" s="1"/>
  <c r="F113" i="23" s="1"/>
  <c r="F114" i="23" s="1"/>
  <c r="F115" i="23" s="1"/>
  <c r="F116" i="23" s="1"/>
  <c r="F117" i="23" s="1"/>
  <c r="F118" i="23" s="1"/>
  <c r="F119" i="23" s="1"/>
  <c r="F120" i="23" s="1"/>
  <c r="F121" i="23" s="1"/>
  <c r="F122" i="23" s="1"/>
  <c r="F123" i="23" s="1"/>
  <c r="F124" i="23" s="1"/>
  <c r="F125" i="23" s="1"/>
  <c r="F126" i="23" s="1"/>
  <c r="J99" i="23"/>
  <c r="J100" i="23" s="1"/>
  <c r="J101" i="23" s="1"/>
  <c r="J102" i="23" s="1"/>
  <c r="J103" i="23" s="1"/>
  <c r="J104" i="23" s="1"/>
  <c r="J105" i="23" s="1"/>
  <c r="K98" i="23"/>
  <c r="K99" i="23" s="1"/>
  <c r="K100" i="23" s="1"/>
  <c r="K101" i="23" s="1"/>
  <c r="K102" i="23" s="1"/>
  <c r="K103" i="23" s="1"/>
  <c r="U40" i="11"/>
  <c r="P19" i="11" l="1"/>
  <c r="K19" i="24" s="1"/>
  <c r="O57" i="11"/>
  <c r="O58" i="11" s="1"/>
  <c r="W40" i="11"/>
  <c r="V40" i="11"/>
  <c r="AE21" i="11"/>
  <c r="X40" i="11"/>
  <c r="P57" i="11" l="1"/>
  <c r="P58" i="11" s="1"/>
  <c r="Q19" i="11"/>
  <c r="Y40" i="11"/>
  <c r="Z40" i="11"/>
  <c r="Q57" i="11" l="1"/>
  <c r="Q58" i="11" s="1"/>
  <c r="R19" i="11"/>
  <c r="AA40" i="11"/>
  <c r="Z21" i="11"/>
  <c r="S19" i="11" l="1"/>
  <c r="R57" i="11"/>
  <c r="R58" i="11" s="1"/>
  <c r="AA21" i="11"/>
  <c r="S57" i="11" l="1"/>
  <c r="S58" i="11" s="1"/>
  <c r="T57" i="11"/>
  <c r="T58" i="11" s="1"/>
  <c r="AB40" i="11"/>
  <c r="AB21" i="11"/>
  <c r="AC40" i="11" l="1"/>
  <c r="AC21" i="11"/>
  <c r="AD40" i="11" l="1"/>
  <c r="AE40" i="11"/>
  <c r="AD21" i="11"/>
  <c r="U27" i="23" l="1"/>
  <c r="U26" i="23"/>
  <c r="U25" i="23"/>
  <c r="U24" i="23"/>
  <c r="U23" i="23"/>
  <c r="U22" i="23"/>
  <c r="U21" i="23"/>
  <c r="U20" i="23"/>
  <c r="U19" i="23"/>
  <c r="U18" i="23"/>
  <c r="U17" i="23"/>
  <c r="U16" i="23"/>
  <c r="U15" i="23"/>
  <c r="V14" i="23"/>
  <c r="X14" i="23" s="1"/>
  <c r="U14" i="23"/>
  <c r="W14" i="23" s="1"/>
  <c r="W15" i="23" s="1"/>
  <c r="W16" i="23" s="1"/>
  <c r="T14" i="23"/>
  <c r="S14" i="23"/>
  <c r="S15" i="23" s="1"/>
  <c r="S16" i="23" s="1"/>
  <c r="S17" i="23" s="1"/>
  <c r="S18" i="23" s="1"/>
  <c r="S19" i="23" s="1"/>
  <c r="S20" i="23" s="1"/>
  <c r="Z8" i="23"/>
  <c r="Z9" i="23" s="1"/>
  <c r="Z10" i="23" s="1"/>
  <c r="Z11" i="23" s="1"/>
  <c r="Z12" i="23" s="1"/>
  <c r="Z13" i="23" s="1"/>
  <c r="Z14" i="23" s="1"/>
  <c r="Z15" i="23" s="1"/>
  <c r="Z16" i="23" s="1"/>
  <c r="Z17" i="23" s="1"/>
  <c r="Z18" i="23" s="1"/>
  <c r="Z19" i="23" s="1"/>
  <c r="Z20" i="23" s="1"/>
  <c r="Z21" i="23" s="1"/>
  <c r="Z22" i="23" s="1"/>
  <c r="Z23" i="23" s="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K32" i="11"/>
  <c r="L32" i="11"/>
  <c r="M32" i="11"/>
  <c r="N32" i="11"/>
  <c r="O32" i="11"/>
  <c r="P32" i="11"/>
  <c r="Q32" i="11"/>
  <c r="R32" i="11"/>
  <c r="S32" i="11"/>
  <c r="T32" i="11"/>
  <c r="V32" i="11"/>
  <c r="W32" i="11"/>
  <c r="X32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K28" i="11"/>
  <c r="J29" i="11"/>
  <c r="J30" i="11"/>
  <c r="J31" i="11"/>
  <c r="J32" i="11"/>
  <c r="J33" i="11"/>
  <c r="J34" i="11"/>
  <c r="J28" i="11"/>
  <c r="I29" i="11"/>
  <c r="I30" i="11"/>
  <c r="I31" i="11"/>
  <c r="I32" i="11"/>
  <c r="I33" i="11"/>
  <c r="I34" i="11"/>
  <c r="I28" i="11"/>
  <c r="H29" i="11"/>
  <c r="H30" i="11"/>
  <c r="H31" i="11"/>
  <c r="H32" i="11"/>
  <c r="H33" i="11"/>
  <c r="H34" i="11"/>
  <c r="G30" i="11"/>
  <c r="G29" i="11"/>
  <c r="G28" i="11"/>
  <c r="H28" i="11"/>
  <c r="G34" i="11"/>
  <c r="G31" i="11"/>
  <c r="G32" i="11"/>
  <c r="I35" i="11" l="1"/>
  <c r="V35" i="11"/>
  <c r="N35" i="11"/>
  <c r="Q35" i="11"/>
  <c r="X35" i="11"/>
  <c r="P35" i="11"/>
  <c r="W35" i="11"/>
  <c r="O35" i="11"/>
  <c r="U35" i="11"/>
  <c r="M35" i="11"/>
  <c r="T35" i="11"/>
  <c r="L35" i="11"/>
  <c r="S35" i="11"/>
  <c r="H35" i="11"/>
  <c r="K35" i="11"/>
  <c r="R35" i="11"/>
  <c r="J35" i="11"/>
  <c r="S21" i="23"/>
  <c r="S22" i="23" s="1"/>
  <c r="S23" i="23" s="1"/>
  <c r="S24" i="23" s="1"/>
  <c r="S25" i="23" s="1"/>
  <c r="S26" i="23" s="1"/>
  <c r="S27" i="23" s="1"/>
  <c r="S28" i="23" s="1"/>
  <c r="S29" i="23" s="1"/>
  <c r="S30" i="23" s="1"/>
  <c r="S31" i="23" s="1"/>
  <c r="S32" i="23" s="1"/>
  <c r="S33" i="23" s="1"/>
  <c r="S34" i="23" s="1"/>
  <c r="S35" i="23" s="1"/>
  <c r="S36" i="23" s="1"/>
  <c r="S37" i="23" s="1"/>
  <c r="S38" i="23" s="1"/>
  <c r="S39" i="23" s="1"/>
  <c r="S40" i="23" s="1"/>
  <c r="S41" i="23" s="1"/>
  <c r="S42" i="23" s="1"/>
  <c r="S43" i="23" s="1"/>
  <c r="W17" i="23"/>
  <c r="W18" i="23" s="1"/>
  <c r="W19" i="23" s="1"/>
  <c r="W20" i="23" s="1"/>
  <c r="W21" i="23" s="1"/>
  <c r="W22" i="23" s="1"/>
  <c r="V25" i="23"/>
  <c r="V24" i="23"/>
  <c r="V23" i="23"/>
  <c r="V22" i="23"/>
  <c r="V15" i="23"/>
  <c r="T15" i="23"/>
  <c r="T16" i="23" s="1"/>
  <c r="T17" i="23" s="1"/>
  <c r="T18" i="23" s="1"/>
  <c r="T19" i="23" s="1"/>
  <c r="T20" i="23" s="1"/>
  <c r="T21" i="23" s="1"/>
  <c r="T22" i="23" s="1"/>
  <c r="T23" i="23" s="1"/>
  <c r="T24" i="23" s="1"/>
  <c r="T25" i="23" s="1"/>
  <c r="T26" i="23" s="1"/>
  <c r="T27" i="23" s="1"/>
  <c r="T28" i="23" s="1"/>
  <c r="T29" i="23" s="1"/>
  <c r="T30" i="23" s="1"/>
  <c r="T31" i="23" s="1"/>
  <c r="T32" i="23" s="1"/>
  <c r="T33" i="23" s="1"/>
  <c r="T34" i="23" s="1"/>
  <c r="T35" i="23" s="1"/>
  <c r="T36" i="23" s="1"/>
  <c r="T37" i="23" s="1"/>
  <c r="T38" i="23" s="1"/>
  <c r="T39" i="23" s="1"/>
  <c r="T40" i="23" s="1"/>
  <c r="V16" i="23"/>
  <c r="V17" i="23"/>
  <c r="V18" i="23"/>
  <c r="V19" i="23"/>
  <c r="V20" i="23"/>
  <c r="V21" i="23"/>
  <c r="X15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J14" i="23" s="1"/>
  <c r="J15" i="23" s="1"/>
  <c r="J16" i="23" s="1"/>
  <c r="J17" i="23" s="1"/>
  <c r="J18" i="23" s="1"/>
  <c r="J19" i="23" s="1"/>
  <c r="F14" i="23"/>
  <c r="F15" i="23" s="1"/>
  <c r="F16" i="23" s="1"/>
  <c r="F17" i="23" s="1"/>
  <c r="F18" i="23" s="1"/>
  <c r="F19" i="23" s="1"/>
  <c r="F20" i="23" s="1"/>
  <c r="F21" i="23" s="1"/>
  <c r="F22" i="23" s="1"/>
  <c r="F23" i="23" s="1"/>
  <c r="F24" i="23" s="1"/>
  <c r="F25" i="23" s="1"/>
  <c r="F26" i="23" s="1"/>
  <c r="F27" i="23" s="1"/>
  <c r="F28" i="23" s="1"/>
  <c r="F29" i="23" s="1"/>
  <c r="F30" i="23" s="1"/>
  <c r="F31" i="23" s="1"/>
  <c r="F32" i="23" s="1"/>
  <c r="F33" i="23" s="1"/>
  <c r="F34" i="23" s="1"/>
  <c r="F35" i="23" s="1"/>
  <c r="F36" i="23" s="1"/>
  <c r="F37" i="23" s="1"/>
  <c r="F38" i="23" s="1"/>
  <c r="F39" i="23" s="1"/>
  <c r="F40" i="23" s="1"/>
  <c r="F41" i="23" s="1"/>
  <c r="F42" i="23" s="1"/>
  <c r="F43" i="23" s="1"/>
  <c r="M8" i="23"/>
  <c r="M9" i="23" s="1"/>
  <c r="M10" i="23" s="1"/>
  <c r="M11" i="23" s="1"/>
  <c r="M12" i="23" s="1"/>
  <c r="M13" i="23" s="1"/>
  <c r="M14" i="23" s="1"/>
  <c r="M15" i="23" s="1"/>
  <c r="M16" i="23" s="1"/>
  <c r="M17" i="23" s="1"/>
  <c r="M18" i="23" s="1"/>
  <c r="M19" i="23" s="1"/>
  <c r="M20" i="23" s="1"/>
  <c r="M21" i="23" s="1"/>
  <c r="M22" i="23" s="1"/>
  <c r="L2" i="23"/>
  <c r="K3" i="16"/>
  <c r="L3" i="16"/>
  <c r="Q3" i="16"/>
  <c r="R3" i="16"/>
  <c r="I4" i="16"/>
  <c r="J4" i="16"/>
  <c r="K4" i="16"/>
  <c r="L4" i="16"/>
  <c r="M4" i="16"/>
  <c r="N4" i="16"/>
  <c r="O4" i="16"/>
  <c r="P4" i="16"/>
  <c r="Q4" i="16"/>
  <c r="R4" i="16"/>
  <c r="S4" i="16"/>
  <c r="T4" i="16"/>
  <c r="U4" i="16"/>
  <c r="V4" i="16"/>
  <c r="W4" i="16"/>
  <c r="X4" i="16"/>
  <c r="I5" i="16"/>
  <c r="J5" i="16"/>
  <c r="K5" i="16"/>
  <c r="L5" i="16"/>
  <c r="M5" i="16"/>
  <c r="N5" i="16"/>
  <c r="O5" i="16"/>
  <c r="P5" i="16"/>
  <c r="Q5" i="16"/>
  <c r="R5" i="16"/>
  <c r="S5" i="16"/>
  <c r="T5" i="16"/>
  <c r="U5" i="16"/>
  <c r="V5" i="16"/>
  <c r="W5" i="16"/>
  <c r="X5" i="16"/>
  <c r="I6" i="16"/>
  <c r="J6" i="16"/>
  <c r="K6" i="16"/>
  <c r="L6" i="16"/>
  <c r="M6" i="16"/>
  <c r="N6" i="16"/>
  <c r="O6" i="16"/>
  <c r="P6" i="16"/>
  <c r="Q6" i="16"/>
  <c r="R6" i="16"/>
  <c r="S6" i="16"/>
  <c r="T6" i="16"/>
  <c r="U6" i="16"/>
  <c r="V6" i="16"/>
  <c r="W6" i="16"/>
  <c r="X6" i="16"/>
  <c r="I7" i="16"/>
  <c r="J7" i="16"/>
  <c r="K7" i="16"/>
  <c r="L7" i="16"/>
  <c r="M7" i="16"/>
  <c r="N7" i="16"/>
  <c r="O7" i="16"/>
  <c r="P7" i="16"/>
  <c r="Q7" i="16"/>
  <c r="R7" i="16"/>
  <c r="S7" i="16"/>
  <c r="T7" i="16"/>
  <c r="U7" i="16"/>
  <c r="V7" i="16"/>
  <c r="W7" i="16"/>
  <c r="X7" i="16"/>
  <c r="I8" i="16"/>
  <c r="J8" i="16"/>
  <c r="K8" i="16"/>
  <c r="L8" i="16"/>
  <c r="M8" i="16"/>
  <c r="N8" i="16"/>
  <c r="O8" i="16"/>
  <c r="P8" i="16"/>
  <c r="Q8" i="16"/>
  <c r="R8" i="16"/>
  <c r="S8" i="16"/>
  <c r="T8" i="16"/>
  <c r="U8" i="16"/>
  <c r="V8" i="16"/>
  <c r="W8" i="16"/>
  <c r="X8" i="16"/>
  <c r="I9" i="16"/>
  <c r="J9" i="16"/>
  <c r="K9" i="16"/>
  <c r="L9" i="16"/>
  <c r="M9" i="16"/>
  <c r="N9" i="16"/>
  <c r="O9" i="16"/>
  <c r="P9" i="16"/>
  <c r="Q9" i="16"/>
  <c r="R9" i="16"/>
  <c r="S9" i="16"/>
  <c r="T9" i="16"/>
  <c r="U9" i="16"/>
  <c r="V9" i="16"/>
  <c r="W9" i="16"/>
  <c r="X9" i="16"/>
  <c r="K10" i="16"/>
  <c r="L10" i="16"/>
  <c r="Q10" i="16"/>
  <c r="R10" i="16"/>
  <c r="I11" i="16"/>
  <c r="J11" i="16"/>
  <c r="K11" i="16"/>
  <c r="L11" i="16"/>
  <c r="M11" i="16"/>
  <c r="N11" i="16"/>
  <c r="O11" i="16"/>
  <c r="P11" i="16"/>
  <c r="Q11" i="16"/>
  <c r="R11" i="16"/>
  <c r="S11" i="16"/>
  <c r="T11" i="16"/>
  <c r="U11" i="16"/>
  <c r="V11" i="16"/>
  <c r="W11" i="16"/>
  <c r="X11" i="16"/>
  <c r="I12" i="16"/>
  <c r="J12" i="16"/>
  <c r="K12" i="16"/>
  <c r="L12" i="16"/>
  <c r="M12" i="16"/>
  <c r="N12" i="16"/>
  <c r="O12" i="16"/>
  <c r="P12" i="16"/>
  <c r="Q12" i="16"/>
  <c r="R12" i="16"/>
  <c r="S12" i="16"/>
  <c r="T12" i="16"/>
  <c r="U12" i="16"/>
  <c r="V12" i="16"/>
  <c r="W12" i="16"/>
  <c r="X12" i="16"/>
  <c r="K13" i="16"/>
  <c r="L13" i="16"/>
  <c r="Q13" i="16"/>
  <c r="R13" i="16"/>
  <c r="I14" i="16"/>
  <c r="J14" i="16"/>
  <c r="K14" i="16"/>
  <c r="L14" i="16"/>
  <c r="M14" i="16"/>
  <c r="N14" i="16"/>
  <c r="O14" i="16"/>
  <c r="Q14" i="16"/>
  <c r="R14" i="16"/>
  <c r="T14" i="16"/>
  <c r="U14" i="16"/>
  <c r="V14" i="16"/>
  <c r="W14" i="16"/>
  <c r="X14" i="16"/>
  <c r="K15" i="16"/>
  <c r="L15" i="16"/>
  <c r="Q15" i="16"/>
  <c r="R15" i="16"/>
  <c r="I16" i="16"/>
  <c r="J16" i="16"/>
  <c r="K16" i="16"/>
  <c r="L16" i="16"/>
  <c r="N16" i="16"/>
  <c r="O16" i="16"/>
  <c r="P16" i="16"/>
  <c r="Q16" i="16"/>
  <c r="R16" i="16"/>
  <c r="T16" i="16"/>
  <c r="U16" i="16"/>
  <c r="V16" i="16"/>
  <c r="W16" i="16"/>
  <c r="X16" i="16"/>
  <c r="K17" i="16"/>
  <c r="L17" i="16"/>
  <c r="Q17" i="16"/>
  <c r="R17" i="16"/>
  <c r="K18" i="16"/>
  <c r="L18" i="16"/>
  <c r="Q18" i="16"/>
  <c r="R18" i="16"/>
  <c r="I2" i="16"/>
  <c r="J2" i="16"/>
  <c r="K2" i="16"/>
  <c r="L2" i="16"/>
  <c r="M2" i="16"/>
  <c r="N2" i="16"/>
  <c r="O2" i="16"/>
  <c r="P2" i="16"/>
  <c r="Q2" i="16"/>
  <c r="R2" i="16"/>
  <c r="S2" i="16"/>
  <c r="T2" i="16"/>
  <c r="U2" i="16"/>
  <c r="V2" i="16"/>
  <c r="W2" i="16"/>
  <c r="X2" i="16"/>
  <c r="Y2" i="16"/>
  <c r="H2" i="16"/>
  <c r="H3" i="16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I56" i="2"/>
  <c r="F21" i="19"/>
  <c r="E21" i="19"/>
  <c r="E21" i="17"/>
  <c r="E21" i="12"/>
  <c r="F22" i="16"/>
  <c r="E22" i="16"/>
  <c r="F21" i="11"/>
  <c r="E21" i="11"/>
  <c r="F21" i="15"/>
  <c r="E21" i="15"/>
  <c r="E21" i="14"/>
  <c r="F21" i="14"/>
  <c r="E21" i="18"/>
  <c r="G21" i="18"/>
  <c r="F21" i="18"/>
  <c r="G21" i="17"/>
  <c r="F21" i="17"/>
  <c r="F21" i="12"/>
  <c r="G21" i="12"/>
  <c r="G21" i="19"/>
  <c r="G22" i="16"/>
  <c r="G21" i="11"/>
  <c r="G21" i="14"/>
  <c r="G21" i="15"/>
  <c r="K21" i="14"/>
  <c r="L21" i="14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Y21" i="15"/>
  <c r="R21" i="15"/>
  <c r="Q21" i="15"/>
  <c r="L21" i="15"/>
  <c r="K21" i="15"/>
  <c r="H21" i="15"/>
  <c r="S18" i="15"/>
  <c r="T18" i="15" s="1"/>
  <c r="U18" i="15" s="1"/>
  <c r="V18" i="15" s="1"/>
  <c r="W18" i="15" s="1"/>
  <c r="X18" i="15" s="1"/>
  <c r="M18" i="15"/>
  <c r="N18" i="15" s="1"/>
  <c r="O18" i="15" s="1"/>
  <c r="P18" i="15" s="1"/>
  <c r="I18" i="15"/>
  <c r="J18" i="15" s="1"/>
  <c r="S17" i="15"/>
  <c r="T17" i="15" s="1"/>
  <c r="U17" i="15" s="1"/>
  <c r="V17" i="15" s="1"/>
  <c r="W17" i="15" s="1"/>
  <c r="X17" i="15" s="1"/>
  <c r="M17" i="15"/>
  <c r="N17" i="15" s="1"/>
  <c r="O17" i="15" s="1"/>
  <c r="P17" i="15" s="1"/>
  <c r="I17" i="15"/>
  <c r="J17" i="15" s="1"/>
  <c r="S16" i="15"/>
  <c r="M16" i="15"/>
  <c r="S15" i="15"/>
  <c r="T15" i="15" s="1"/>
  <c r="U15" i="15" s="1"/>
  <c r="V15" i="15" s="1"/>
  <c r="W15" i="15" s="1"/>
  <c r="X15" i="15" s="1"/>
  <c r="M15" i="15"/>
  <c r="N15" i="15" s="1"/>
  <c r="O15" i="15" s="1"/>
  <c r="P15" i="15" s="1"/>
  <c r="I15" i="15"/>
  <c r="J15" i="15" s="1"/>
  <c r="S14" i="15"/>
  <c r="P14" i="15"/>
  <c r="S13" i="15"/>
  <c r="T13" i="15" s="1"/>
  <c r="U13" i="15" s="1"/>
  <c r="V13" i="15" s="1"/>
  <c r="W13" i="15" s="1"/>
  <c r="X13" i="15" s="1"/>
  <c r="M13" i="15"/>
  <c r="I13" i="15"/>
  <c r="J13" i="15" s="1"/>
  <c r="S10" i="15"/>
  <c r="T10" i="15" s="1"/>
  <c r="U10" i="15" s="1"/>
  <c r="V10" i="15" s="1"/>
  <c r="W10" i="15" s="1"/>
  <c r="X10" i="15" s="1"/>
  <c r="M10" i="15"/>
  <c r="N10" i="15" s="1"/>
  <c r="O10" i="15" s="1"/>
  <c r="P10" i="15" s="1"/>
  <c r="I10" i="15"/>
  <c r="J10" i="15" s="1"/>
  <c r="S3" i="15"/>
  <c r="M3" i="15"/>
  <c r="N3" i="15" s="1"/>
  <c r="I3" i="15"/>
  <c r="Y21" i="14"/>
  <c r="R21" i="14"/>
  <c r="Q21" i="14"/>
  <c r="H21" i="14"/>
  <c r="S18" i="14"/>
  <c r="T18" i="14" s="1"/>
  <c r="U18" i="14" s="1"/>
  <c r="V18" i="14" s="1"/>
  <c r="W18" i="14" s="1"/>
  <c r="X18" i="14" s="1"/>
  <c r="M18" i="14"/>
  <c r="N18" i="14" s="1"/>
  <c r="O18" i="14" s="1"/>
  <c r="P18" i="14" s="1"/>
  <c r="I18" i="14"/>
  <c r="J18" i="14" s="1"/>
  <c r="S17" i="14"/>
  <c r="T17" i="14" s="1"/>
  <c r="U17" i="14" s="1"/>
  <c r="V17" i="14" s="1"/>
  <c r="W17" i="14" s="1"/>
  <c r="X17" i="14" s="1"/>
  <c r="M17" i="14"/>
  <c r="N17" i="14" s="1"/>
  <c r="O17" i="14" s="1"/>
  <c r="P17" i="14" s="1"/>
  <c r="I17" i="14"/>
  <c r="J17" i="14" s="1"/>
  <c r="S16" i="14"/>
  <c r="M16" i="14"/>
  <c r="S15" i="14"/>
  <c r="T15" i="14" s="1"/>
  <c r="U15" i="14" s="1"/>
  <c r="V15" i="14" s="1"/>
  <c r="W15" i="14" s="1"/>
  <c r="X15" i="14" s="1"/>
  <c r="M15" i="14"/>
  <c r="N15" i="14" s="1"/>
  <c r="O15" i="14" s="1"/>
  <c r="P15" i="14" s="1"/>
  <c r="I15" i="14"/>
  <c r="J15" i="14" s="1"/>
  <c r="S14" i="14"/>
  <c r="P14" i="14"/>
  <c r="S13" i="14"/>
  <c r="T13" i="14" s="1"/>
  <c r="U13" i="14" s="1"/>
  <c r="V13" i="14" s="1"/>
  <c r="W13" i="14" s="1"/>
  <c r="X13" i="14" s="1"/>
  <c r="M13" i="14"/>
  <c r="N13" i="14" s="1"/>
  <c r="O13" i="14" s="1"/>
  <c r="P13" i="14" s="1"/>
  <c r="I13" i="14"/>
  <c r="J13" i="14" s="1"/>
  <c r="S10" i="14"/>
  <c r="T10" i="14" s="1"/>
  <c r="U10" i="14" s="1"/>
  <c r="V10" i="14" s="1"/>
  <c r="W10" i="14" s="1"/>
  <c r="X10" i="14" s="1"/>
  <c r="M10" i="14"/>
  <c r="N10" i="14" s="1"/>
  <c r="O10" i="14" s="1"/>
  <c r="P10" i="14" s="1"/>
  <c r="I10" i="14"/>
  <c r="J10" i="14" s="1"/>
  <c r="S3" i="14"/>
  <c r="M3" i="14"/>
  <c r="N3" i="14" s="1"/>
  <c r="I3" i="14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Y21" i="11"/>
  <c r="R21" i="11"/>
  <c r="Q21" i="11"/>
  <c r="L21" i="11"/>
  <c r="K21" i="11"/>
  <c r="H21" i="11"/>
  <c r="S51" i="11"/>
  <c r="M51" i="11"/>
  <c r="I51" i="11"/>
  <c r="B9" i="10"/>
  <c r="A1" i="10"/>
  <c r="D16" i="10"/>
  <c r="D15" i="10"/>
  <c r="D14" i="10"/>
  <c r="D13" i="10"/>
  <c r="D12" i="10"/>
  <c r="D11" i="10"/>
  <c r="D10" i="10"/>
  <c r="D9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D13" i="9"/>
  <c r="B13" i="9"/>
  <c r="D12" i="9"/>
  <c r="B12" i="9"/>
  <c r="D11" i="9"/>
  <c r="B11" i="9"/>
  <c r="D10" i="9"/>
  <c r="B10" i="9"/>
  <c r="D9" i="9"/>
  <c r="B9" i="9"/>
  <c r="B3" i="9"/>
  <c r="I47" i="11" l="1"/>
  <c r="M13" i="16"/>
  <c r="M47" i="11"/>
  <c r="I3" i="16"/>
  <c r="I45" i="11"/>
  <c r="S47" i="11"/>
  <c r="I46" i="11"/>
  <c r="I49" i="11"/>
  <c r="M46" i="11"/>
  <c r="M49" i="11"/>
  <c r="M52" i="11"/>
  <c r="M50" i="11"/>
  <c r="N50" i="11"/>
  <c r="S50" i="11"/>
  <c r="T50" i="11"/>
  <c r="M45" i="11"/>
  <c r="P14" i="16"/>
  <c r="P48" i="11"/>
  <c r="Q48" i="11"/>
  <c r="S3" i="16"/>
  <c r="S45" i="11"/>
  <c r="S14" i="16"/>
  <c r="S48" i="11"/>
  <c r="T48" i="11"/>
  <c r="I52" i="11"/>
  <c r="S46" i="11"/>
  <c r="S49" i="11"/>
  <c r="T18" i="16"/>
  <c r="S52" i="11"/>
  <c r="S16" i="16"/>
  <c r="S41" i="11"/>
  <c r="I41" i="11"/>
  <c r="N51" i="11"/>
  <c r="T51" i="11"/>
  <c r="M16" i="16"/>
  <c r="X16" i="23"/>
  <c r="X17" i="23" s="1"/>
  <c r="X18" i="23" s="1"/>
  <c r="X19" i="23" s="1"/>
  <c r="X20" i="23" s="1"/>
  <c r="I23" i="23"/>
  <c r="I15" i="23"/>
  <c r="I22" i="23"/>
  <c r="I21" i="23"/>
  <c r="I20" i="23"/>
  <c r="I19" i="23"/>
  <c r="I18" i="23"/>
  <c r="I25" i="23"/>
  <c r="I17" i="23"/>
  <c r="I24" i="23"/>
  <c r="I16" i="23"/>
  <c r="I14" i="23"/>
  <c r="K14" i="23" s="1"/>
  <c r="G14" i="23"/>
  <c r="G15" i="23" s="1"/>
  <c r="G16" i="23" s="1"/>
  <c r="G17" i="23" s="1"/>
  <c r="G18" i="23" s="1"/>
  <c r="G19" i="23" s="1"/>
  <c r="G20" i="23" s="1"/>
  <c r="G21" i="23" s="1"/>
  <c r="G22" i="23" s="1"/>
  <c r="G23" i="23" s="1"/>
  <c r="G24" i="23" s="1"/>
  <c r="G25" i="23" s="1"/>
  <c r="G26" i="23" s="1"/>
  <c r="G27" i="23" s="1"/>
  <c r="G28" i="23" s="1"/>
  <c r="G29" i="23" s="1"/>
  <c r="G30" i="23" s="1"/>
  <c r="G31" i="23" s="1"/>
  <c r="G32" i="23" s="1"/>
  <c r="G33" i="23" s="1"/>
  <c r="G34" i="23" s="1"/>
  <c r="G35" i="23" s="1"/>
  <c r="J20" i="23"/>
  <c r="J21" i="23" s="1"/>
  <c r="J22" i="23" s="1"/>
  <c r="S17" i="16"/>
  <c r="I10" i="16"/>
  <c r="S10" i="16"/>
  <c r="M15" i="16"/>
  <c r="K22" i="16"/>
  <c r="S15" i="16"/>
  <c r="N18" i="16"/>
  <c r="S18" i="16"/>
  <c r="I18" i="16"/>
  <c r="N10" i="16"/>
  <c r="R22" i="16"/>
  <c r="L22" i="16"/>
  <c r="Q22" i="16"/>
  <c r="I15" i="16"/>
  <c r="S13" i="16"/>
  <c r="Y22" i="16"/>
  <c r="M3" i="16"/>
  <c r="M18" i="16"/>
  <c r="M10" i="16"/>
  <c r="M17" i="16"/>
  <c r="I13" i="16"/>
  <c r="T10" i="16"/>
  <c r="I17" i="16"/>
  <c r="H22" i="16"/>
  <c r="I21" i="14"/>
  <c r="S21" i="11"/>
  <c r="M21" i="15"/>
  <c r="I21" i="15"/>
  <c r="S21" i="15"/>
  <c r="N21" i="14"/>
  <c r="M21" i="14"/>
  <c r="S21" i="14"/>
  <c r="O3" i="15"/>
  <c r="T3" i="15"/>
  <c r="J3" i="15"/>
  <c r="J21" i="15" s="1"/>
  <c r="N13" i="15"/>
  <c r="O13" i="15" s="1"/>
  <c r="P13" i="15" s="1"/>
  <c r="O3" i="14"/>
  <c r="T3" i="14"/>
  <c r="J3" i="14"/>
  <c r="J21" i="14" s="1"/>
  <c r="M21" i="11"/>
  <c r="I21" i="11"/>
  <c r="N47" i="11"/>
  <c r="G20" i="7"/>
  <c r="F20" i="7"/>
  <c r="E20" i="7"/>
  <c r="D20" i="7"/>
  <c r="I53" i="11" l="1"/>
  <c r="S53" i="11"/>
  <c r="M53" i="11"/>
  <c r="T52" i="11"/>
  <c r="N3" i="16"/>
  <c r="N45" i="11"/>
  <c r="N49" i="11"/>
  <c r="T49" i="11"/>
  <c r="J15" i="16"/>
  <c r="J49" i="11"/>
  <c r="K49" i="11"/>
  <c r="T47" i="11"/>
  <c r="N46" i="11"/>
  <c r="K45" i="11"/>
  <c r="J45" i="11"/>
  <c r="T13" i="16"/>
  <c r="J51" i="11"/>
  <c r="K51" i="11"/>
  <c r="T46" i="11"/>
  <c r="T3" i="16"/>
  <c r="T45" i="11"/>
  <c r="N15" i="16"/>
  <c r="T15" i="16"/>
  <c r="J18" i="16"/>
  <c r="J52" i="11"/>
  <c r="K52" i="11"/>
  <c r="N52" i="11"/>
  <c r="J10" i="16"/>
  <c r="J46" i="11"/>
  <c r="K46" i="11"/>
  <c r="J13" i="16"/>
  <c r="J47" i="11"/>
  <c r="K47" i="11"/>
  <c r="U51" i="11"/>
  <c r="O51" i="11"/>
  <c r="N41" i="11"/>
  <c r="N17" i="16"/>
  <c r="M41" i="11"/>
  <c r="J17" i="16"/>
  <c r="K41" i="11"/>
  <c r="J41" i="11"/>
  <c r="T17" i="16"/>
  <c r="T41" i="11"/>
  <c r="K15" i="23"/>
  <c r="K16" i="23" s="1"/>
  <c r="K17" i="23" s="1"/>
  <c r="K18" i="23" s="1"/>
  <c r="K19" i="23" s="1"/>
  <c r="K20" i="23" s="1"/>
  <c r="I22" i="16"/>
  <c r="M22" i="16"/>
  <c r="S22" i="16"/>
  <c r="J21" i="11"/>
  <c r="J3" i="16"/>
  <c r="N13" i="16"/>
  <c r="T21" i="15"/>
  <c r="U3" i="15"/>
  <c r="N21" i="15"/>
  <c r="P3" i="15"/>
  <c r="P21" i="15" s="1"/>
  <c r="O21" i="15"/>
  <c r="P3" i="14"/>
  <c r="P21" i="14" s="1"/>
  <c r="O21" i="14"/>
  <c r="T21" i="14"/>
  <c r="U3" i="14"/>
  <c r="T21" i="11"/>
  <c r="N21" i="11"/>
  <c r="H20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" i="6"/>
  <c r="G20" i="6"/>
  <c r="F20" i="6"/>
  <c r="E20" i="6"/>
  <c r="D20" i="6"/>
  <c r="K53" i="11" l="1"/>
  <c r="J53" i="11"/>
  <c r="N53" i="11"/>
  <c r="T53" i="11"/>
  <c r="T22" i="16"/>
  <c r="O46" i="11"/>
  <c r="O10" i="16"/>
  <c r="U3" i="16"/>
  <c r="U45" i="11"/>
  <c r="O49" i="11"/>
  <c r="O15" i="16"/>
  <c r="O3" i="16"/>
  <c r="O45" i="11"/>
  <c r="P45" i="11"/>
  <c r="Q45" i="11"/>
  <c r="U46" i="11"/>
  <c r="U10" i="16"/>
  <c r="U49" i="11"/>
  <c r="U15" i="16"/>
  <c r="U47" i="11"/>
  <c r="U13" i="16"/>
  <c r="O21" i="11"/>
  <c r="O47" i="11"/>
  <c r="O52" i="11"/>
  <c r="O18" i="16"/>
  <c r="U52" i="11"/>
  <c r="U18" i="16"/>
  <c r="N22" i="16"/>
  <c r="J22" i="16"/>
  <c r="O41" i="11"/>
  <c r="O17" i="16"/>
  <c r="V51" i="11"/>
  <c r="U41" i="11"/>
  <c r="U17" i="16"/>
  <c r="P3" i="16"/>
  <c r="O13" i="16"/>
  <c r="U21" i="15"/>
  <c r="V3" i="15"/>
  <c r="U21" i="14"/>
  <c r="V3" i="14"/>
  <c r="U21" i="11"/>
  <c r="M53" i="2"/>
  <c r="O53" i="2" s="1"/>
  <c r="M52" i="2"/>
  <c r="P52" i="2" s="1"/>
  <c r="M51" i="2"/>
  <c r="P51" i="2" s="1"/>
  <c r="M50" i="2"/>
  <c r="P50" i="2" s="1"/>
  <c r="M49" i="2"/>
  <c r="O49" i="2" s="1"/>
  <c r="M48" i="2"/>
  <c r="P48" i="2" s="1"/>
  <c r="M47" i="2"/>
  <c r="P47" i="2" s="1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4" i="4"/>
  <c r="M46" i="2"/>
  <c r="O46" i="2" s="1"/>
  <c r="M45" i="2"/>
  <c r="O45" i="2" s="1"/>
  <c r="M43" i="2"/>
  <c r="O43" i="2" s="1"/>
  <c r="M41" i="2"/>
  <c r="P41" i="2" s="1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F23" i="4"/>
  <c r="F24" i="4"/>
  <c r="M42" i="2" s="1"/>
  <c r="F25" i="4"/>
  <c r="F26" i="4"/>
  <c r="F27" i="4"/>
  <c r="F28" i="4"/>
  <c r="F29" i="4"/>
  <c r="F30" i="4"/>
  <c r="F31" i="4"/>
  <c r="F32" i="4"/>
  <c r="F33" i="4"/>
  <c r="F34" i="4"/>
  <c r="F35" i="4"/>
  <c r="E23" i="4"/>
  <c r="E24" i="4"/>
  <c r="E25" i="4"/>
  <c r="E26" i="4"/>
  <c r="M44" i="2" s="1"/>
  <c r="E27" i="4"/>
  <c r="E28" i="4"/>
  <c r="E29" i="4"/>
  <c r="E30" i="4"/>
  <c r="E31" i="4"/>
  <c r="E32" i="4"/>
  <c r="E33" i="4"/>
  <c r="E34" i="4"/>
  <c r="E35" i="4"/>
  <c r="P43" i="2"/>
  <c r="P46" i="2"/>
  <c r="P49" i="2"/>
  <c r="O48" i="2"/>
  <c r="M36" i="2"/>
  <c r="O36" i="2" s="1"/>
  <c r="M35" i="2"/>
  <c r="O35" i="2" s="1"/>
  <c r="G17" i="4"/>
  <c r="G18" i="4"/>
  <c r="G19" i="4"/>
  <c r="G20" i="4"/>
  <c r="G21" i="4"/>
  <c r="G22" i="4"/>
  <c r="F17" i="4"/>
  <c r="F18" i="4"/>
  <c r="F19" i="4"/>
  <c r="F20" i="4"/>
  <c r="F21" i="4"/>
  <c r="F22" i="4"/>
  <c r="M40" i="2" s="1"/>
  <c r="E17" i="4"/>
  <c r="E18" i="4"/>
  <c r="E19" i="4"/>
  <c r="M37" i="2" s="1"/>
  <c r="E20" i="4"/>
  <c r="M38" i="2" s="1"/>
  <c r="E21" i="4"/>
  <c r="M39" i="2" s="1"/>
  <c r="E22" i="4"/>
  <c r="G16" i="4"/>
  <c r="M34" i="2" s="1"/>
  <c r="F16" i="4"/>
  <c r="M33" i="2" s="1"/>
  <c r="E16" i="4"/>
  <c r="M32" i="2" s="1"/>
  <c r="O32" i="2" s="1"/>
  <c r="N30" i="2"/>
  <c r="B30" i="2"/>
  <c r="N28" i="2"/>
  <c r="N27" i="2"/>
  <c r="I28" i="2"/>
  <c r="I27" i="2"/>
  <c r="N25" i="2"/>
  <c r="N24" i="2"/>
  <c r="I25" i="2"/>
  <c r="I24" i="2"/>
  <c r="N22" i="2"/>
  <c r="N21" i="2"/>
  <c r="I22" i="2"/>
  <c r="I21" i="2"/>
  <c r="N19" i="2"/>
  <c r="N18" i="2"/>
  <c r="I19" i="2"/>
  <c r="I18" i="2"/>
  <c r="N17" i="2"/>
  <c r="N15" i="2"/>
  <c r="I15" i="2"/>
  <c r="N4" i="2"/>
  <c r="N5" i="2"/>
  <c r="N3" i="2"/>
  <c r="N13" i="2"/>
  <c r="I13" i="2"/>
  <c r="N11" i="2"/>
  <c r="I11" i="2"/>
  <c r="N9" i="2"/>
  <c r="I9" i="2"/>
  <c r="N7" i="2"/>
  <c r="N6" i="2"/>
  <c r="I4" i="2"/>
  <c r="I5" i="2"/>
  <c r="I3" i="2"/>
  <c r="I7" i="2"/>
  <c r="I6" i="2"/>
  <c r="M14" i="2"/>
  <c r="M9" i="2"/>
  <c r="M7" i="2"/>
  <c r="G6" i="4"/>
  <c r="M10" i="2" s="1"/>
  <c r="G7" i="4"/>
  <c r="M12" i="2" s="1"/>
  <c r="G8" i="4"/>
  <c r="G9" i="4"/>
  <c r="M16" i="2" s="1"/>
  <c r="F6" i="4"/>
  <c r="F7" i="4"/>
  <c r="M11" i="2" s="1"/>
  <c r="P11" i="2" s="1"/>
  <c r="F8" i="4"/>
  <c r="M13" i="2" s="1"/>
  <c r="P13" i="2" s="1"/>
  <c r="F9" i="4"/>
  <c r="M15" i="2" s="1"/>
  <c r="E5" i="4"/>
  <c r="M6" i="2" s="1"/>
  <c r="P6" i="2" s="1"/>
  <c r="E6" i="4"/>
  <c r="E7" i="4"/>
  <c r="E8" i="4"/>
  <c r="E9" i="4"/>
  <c r="L16" i="2"/>
  <c r="I16" i="2" s="1"/>
  <c r="L14" i="2"/>
  <c r="I14" i="2" s="1"/>
  <c r="L12" i="2"/>
  <c r="N12" i="2" s="1"/>
  <c r="L10" i="2"/>
  <c r="I10" i="2" s="1"/>
  <c r="O4" i="4"/>
  <c r="E4" i="4" s="1"/>
  <c r="M3" i="2" s="1"/>
  <c r="P3" i="2" s="1"/>
  <c r="L23" i="2"/>
  <c r="I23" i="2" s="1"/>
  <c r="G5" i="4"/>
  <c r="M8" i="2" s="1"/>
  <c r="G10" i="4"/>
  <c r="M17" i="2" s="1"/>
  <c r="P17" i="2" s="1"/>
  <c r="G11" i="4"/>
  <c r="M20" i="2" s="1"/>
  <c r="G12" i="4"/>
  <c r="M23" i="2" s="1"/>
  <c r="G13" i="4"/>
  <c r="M26" i="2" s="1"/>
  <c r="G14" i="4"/>
  <c r="M29" i="2" s="1"/>
  <c r="G15" i="4"/>
  <c r="M31" i="2" s="1"/>
  <c r="F5" i="4"/>
  <c r="F10" i="4"/>
  <c r="F11" i="4"/>
  <c r="M19" i="2" s="1"/>
  <c r="P19" i="2" s="1"/>
  <c r="F12" i="4"/>
  <c r="M22" i="2" s="1"/>
  <c r="P22" i="2" s="1"/>
  <c r="F13" i="4"/>
  <c r="M25" i="2" s="1"/>
  <c r="P25" i="2" s="1"/>
  <c r="F14" i="4"/>
  <c r="M28" i="2" s="1"/>
  <c r="P28" i="2" s="1"/>
  <c r="F15" i="4"/>
  <c r="E10" i="4"/>
  <c r="E11" i="4"/>
  <c r="M18" i="2" s="1"/>
  <c r="P18" i="2" s="1"/>
  <c r="E12" i="4"/>
  <c r="M21" i="2" s="1"/>
  <c r="P21" i="2" s="1"/>
  <c r="E13" i="4"/>
  <c r="M24" i="2" s="1"/>
  <c r="P24" i="2" s="1"/>
  <c r="E14" i="4"/>
  <c r="M27" i="2" s="1"/>
  <c r="P27" i="2" s="1"/>
  <c r="E15" i="4"/>
  <c r="M30" i="2" s="1"/>
  <c r="P30" i="2" s="1"/>
  <c r="G4" i="4"/>
  <c r="M5" i="2" s="1"/>
  <c r="P5" i="2" s="1"/>
  <c r="F4" i="4"/>
  <c r="M4" i="2" s="1"/>
  <c r="P4" i="2" s="1"/>
  <c r="L31" i="2"/>
  <c r="N31" i="2" s="1"/>
  <c r="O31" i="2" s="1"/>
  <c r="L29" i="2"/>
  <c r="N29" i="2" s="1"/>
  <c r="L26" i="2"/>
  <c r="N26" i="2" s="1"/>
  <c r="L20" i="2"/>
  <c r="N20" i="2" s="1"/>
  <c r="L8" i="2"/>
  <c r="I8" i="2" s="1"/>
  <c r="U53" i="11" l="1"/>
  <c r="O53" i="11"/>
  <c r="V46" i="11"/>
  <c r="V10" i="16"/>
  <c r="V52" i="11"/>
  <c r="V18" i="16"/>
  <c r="V47" i="11"/>
  <c r="V13" i="16"/>
  <c r="P15" i="16"/>
  <c r="P49" i="11"/>
  <c r="Q49" i="11"/>
  <c r="P51" i="11"/>
  <c r="Q51" i="11"/>
  <c r="P18" i="16"/>
  <c r="P52" i="11"/>
  <c r="Q52" i="11"/>
  <c r="P13" i="16"/>
  <c r="P47" i="11"/>
  <c r="Q47" i="11"/>
  <c r="V49" i="11"/>
  <c r="V15" i="16"/>
  <c r="V3" i="16"/>
  <c r="V45" i="11"/>
  <c r="U22" i="16"/>
  <c r="P10" i="16"/>
  <c r="P46" i="11"/>
  <c r="Q46" i="11"/>
  <c r="W51" i="11"/>
  <c r="V41" i="11"/>
  <c r="V17" i="16"/>
  <c r="O22" i="16"/>
  <c r="P17" i="16"/>
  <c r="Q41" i="11"/>
  <c r="P41" i="11"/>
  <c r="P21" i="11"/>
  <c r="V21" i="15"/>
  <c r="W3" i="15"/>
  <c r="W3" i="14"/>
  <c r="V21" i="14"/>
  <c r="V21" i="11"/>
  <c r="O52" i="2"/>
  <c r="O24" i="2"/>
  <c r="O18" i="2"/>
  <c r="O19" i="2"/>
  <c r="O41" i="2"/>
  <c r="P53" i="2"/>
  <c r="O28" i="2"/>
  <c r="O30" i="2"/>
  <c r="O47" i="2"/>
  <c r="O51" i="2"/>
  <c r="P32" i="2"/>
  <c r="O50" i="2"/>
  <c r="N10" i="2"/>
  <c r="O10" i="2" s="1"/>
  <c r="O42" i="2"/>
  <c r="P42" i="2"/>
  <c r="P15" i="2"/>
  <c r="O15" i="2"/>
  <c r="O44" i="2"/>
  <c r="P44" i="2"/>
  <c r="O39" i="2"/>
  <c r="P39" i="2"/>
  <c r="O38" i="2"/>
  <c r="P38" i="2"/>
  <c r="O37" i="2"/>
  <c r="P37" i="2"/>
  <c r="O33" i="2"/>
  <c r="P33" i="2"/>
  <c r="P40" i="2"/>
  <c r="O40" i="2"/>
  <c r="O22" i="2"/>
  <c r="O6" i="2"/>
  <c r="O13" i="2"/>
  <c r="O7" i="2"/>
  <c r="O3" i="2"/>
  <c r="P45" i="2"/>
  <c r="P36" i="2"/>
  <c r="O9" i="2"/>
  <c r="O4" i="2"/>
  <c r="O25" i="2"/>
  <c r="P35" i="2"/>
  <c r="O11" i="2"/>
  <c r="O21" i="2"/>
  <c r="O27" i="2"/>
  <c r="O17" i="2"/>
  <c r="O34" i="2"/>
  <c r="P34" i="2"/>
  <c r="O12" i="2"/>
  <c r="O20" i="2"/>
  <c r="O26" i="2"/>
  <c r="O29" i="2"/>
  <c r="O5" i="2"/>
  <c r="I29" i="2"/>
  <c r="N16" i="2"/>
  <c r="O16" i="2" s="1"/>
  <c r="N23" i="2"/>
  <c r="O23" i="2" s="1"/>
  <c r="N14" i="2"/>
  <c r="O14" i="2" s="1"/>
  <c r="I12" i="2"/>
  <c r="I20" i="2"/>
  <c r="N8" i="2"/>
  <c r="O8" i="2" s="1"/>
  <c r="I26" i="2"/>
  <c r="I31" i="2"/>
  <c r="I30" i="2"/>
  <c r="P10" i="2"/>
  <c r="P12" i="2"/>
  <c r="P16" i="2"/>
  <c r="P14" i="2"/>
  <c r="P9" i="2"/>
  <c r="P26" i="2"/>
  <c r="P31" i="2"/>
  <c r="P23" i="2"/>
  <c r="P29" i="2"/>
  <c r="P8" i="2"/>
  <c r="P20" i="2"/>
  <c r="P7" i="2"/>
  <c r="Q53" i="11" l="1"/>
  <c r="V53" i="11"/>
  <c r="P53" i="11"/>
  <c r="P22" i="16"/>
  <c r="W3" i="16"/>
  <c r="W45" i="11"/>
  <c r="W49" i="11"/>
  <c r="W15" i="16"/>
  <c r="W47" i="11"/>
  <c r="W13" i="16"/>
  <c r="V22" i="16"/>
  <c r="W52" i="11"/>
  <c r="W18" i="16"/>
  <c r="W46" i="11"/>
  <c r="W10" i="16"/>
  <c r="W41" i="11"/>
  <c r="W17" i="16"/>
  <c r="X3" i="15"/>
  <c r="X21" i="15" s="1"/>
  <c r="W21" i="15"/>
  <c r="W21" i="14"/>
  <c r="X3" i="14"/>
  <c r="X21" i="14" s="1"/>
  <c r="W21" i="11"/>
  <c r="W53" i="11" l="1"/>
  <c r="X45" i="11"/>
  <c r="Y45" i="11"/>
  <c r="X51" i="11"/>
  <c r="Y51" i="11"/>
  <c r="X13" i="16"/>
  <c r="X47" i="11"/>
  <c r="Y47" i="11"/>
  <c r="X10" i="16"/>
  <c r="X46" i="11"/>
  <c r="Y46" i="11"/>
  <c r="X15" i="16"/>
  <c r="X49" i="11"/>
  <c r="Y49" i="11"/>
  <c r="W22" i="16"/>
  <c r="X18" i="16"/>
  <c r="X52" i="11"/>
  <c r="Y52" i="11"/>
  <c r="X17" i="16"/>
  <c r="X41" i="11"/>
  <c r="X21" i="11"/>
  <c r="X3" i="16"/>
  <c r="Y53" i="11" l="1"/>
  <c r="X53" i="11"/>
  <c r="X22" i="16"/>
</calcChain>
</file>

<file path=xl/sharedStrings.xml><?xml version="1.0" encoding="utf-8"?>
<sst xmlns="http://schemas.openxmlformats.org/spreadsheetml/2006/main" count="1840" uniqueCount="268">
  <si>
    <t>N°</t>
  </si>
  <si>
    <t>DEPARTAMENTO</t>
  </si>
  <si>
    <t>MUNICIPIO</t>
  </si>
  <si>
    <t>VALOR</t>
  </si>
  <si>
    <t>N° CE</t>
  </si>
  <si>
    <t>USUARIOS</t>
  </si>
  <si>
    <t>Potencia (mWp)</t>
  </si>
  <si>
    <t>Potencia ((kWp) </t>
  </si>
  <si>
    <t>Fecha Inicial</t>
  </si>
  <si>
    <t>OR/Generador</t>
  </si>
  <si>
    <t>TIPO DE PROYECTO</t>
  </si>
  <si>
    <t>ZONA</t>
  </si>
  <si>
    <t>AMAZONAS</t>
  </si>
  <si>
    <t>ENAM</t>
  </si>
  <si>
    <t>CENTRALIZADO</t>
  </si>
  <si>
    <t>ZNI</t>
  </si>
  <si>
    <t>CAQUETA</t>
  </si>
  <si>
    <t>CARTAGENA DEL CHAIIRA</t>
  </si>
  <si>
    <t>GENSA</t>
  </si>
  <si>
    <t>INDIVIDUALES</t>
  </si>
  <si>
    <t>CESAR</t>
  </si>
  <si>
    <t>BECERRIL</t>
  </si>
  <si>
    <t>ELECTROCAQUETA</t>
  </si>
  <si>
    <t>INDIVUDUALES</t>
  </si>
  <si>
    <t>CURUMANI</t>
  </si>
  <si>
    <t>CHOCO</t>
  </si>
  <si>
    <t>NUQUI</t>
  </si>
  <si>
    <t>DISPAC</t>
  </si>
  <si>
    <t>BAHIA SOLANO</t>
  </si>
  <si>
    <t>LA GUAJIRA</t>
  </si>
  <si>
    <t>MAICAO Y ALBANIA</t>
  </si>
  <si>
    <t>URIBIA</t>
  </si>
  <si>
    <t>MAGDALENA</t>
  </si>
  <si>
    <t>SANTA MARTA</t>
  </si>
  <si>
    <t>META</t>
  </si>
  <si>
    <t>LA URIBE</t>
  </si>
  <si>
    <t>NARIÑO</t>
  </si>
  <si>
    <t>RICAURTE</t>
  </si>
  <si>
    <t>NORTE DE SANTANDER</t>
  </si>
  <si>
    <t>TEORAMA
EL CARMEN
CONVENCIÓN
HACARI
SAN CALIXTO
TIBU</t>
  </si>
  <si>
    <t>PUTUMAYO</t>
  </si>
  <si>
    <t>SAN MIGUEL</t>
  </si>
  <si>
    <t>VALLE DEL GUAMUEZ</t>
  </si>
  <si>
    <t>VILLA GARZON</t>
  </si>
  <si>
    <t>PUERTO GUZMAN</t>
  </si>
  <si>
    <t>SANTANDER</t>
  </si>
  <si>
    <t>Bolivar, Charalá, El Peñón, Florian, La Belleza, Landazuri, Ocamonte, Simac ota, Sucre, zapatoca</t>
  </si>
  <si>
    <t>GUACA</t>
  </si>
  <si>
    <t>TOTAL</t>
  </si>
  <si>
    <t>Potencia Total</t>
  </si>
  <si>
    <t>OPERADOR</t>
  </si>
  <si>
    <t>Electrocaqueta</t>
  </si>
  <si>
    <t>Usuarios Totales</t>
  </si>
  <si>
    <t>Dispac</t>
  </si>
  <si>
    <t>POTENCIA TOTAL</t>
  </si>
  <si>
    <t>9,83 MWp</t>
  </si>
  <si>
    <t>11,73 MWp</t>
  </si>
  <si>
    <t>USUARIOS TOTALES</t>
  </si>
  <si>
    <t>Mes</t>
  </si>
  <si>
    <t>Usuarios (Plan Inicial)</t>
  </si>
  <si>
    <t>Usuarios (Nueva Estrat.)</t>
  </si>
  <si>
    <t>Usuarios Acum. (Inicial)</t>
  </si>
  <si>
    <t>Usuarios Acum. (Nueva)</t>
  </si>
  <si>
    <t>Potencia kW (Plan Inicial)</t>
  </si>
  <si>
    <t>Potencia kW (Nueva Estrat.)</t>
  </si>
  <si>
    <t>Potencia Acum. (Inicial)</t>
  </si>
  <si>
    <t>Potencia Acum. (Nueva)</t>
  </si>
  <si>
    <t>Usuarios Ejcutado</t>
  </si>
  <si>
    <t>Usuarios Ejcutado Acumulado</t>
  </si>
  <si>
    <t>Gensa</t>
  </si>
  <si>
    <t>6,48 MWp</t>
  </si>
  <si>
    <t>4,35 MWp</t>
  </si>
  <si>
    <t>GENERAL</t>
  </si>
  <si>
    <t>32,39 MWp</t>
  </si>
  <si>
    <t>Operador de Red</t>
  </si>
  <si>
    <t>(Todas)</t>
  </si>
  <si>
    <t>Suma de 30/05/2026</t>
  </si>
  <si>
    <t>Suma de 04/06/2026</t>
  </si>
  <si>
    <t>Suma de 09/06/2026</t>
  </si>
  <si>
    <t>Suma de 14/06/2026</t>
  </si>
  <si>
    <t>Suma de 20/06/2026</t>
  </si>
  <si>
    <t>Suma de 25/06/2026</t>
  </si>
  <si>
    <t>Suma de 30/06/2026</t>
  </si>
  <si>
    <t>Suma de 05/07/2026</t>
  </si>
  <si>
    <t>Suma de 10/07/2026</t>
  </si>
  <si>
    <t>Suma de 15/07/2026</t>
  </si>
  <si>
    <t>Suma de 20/07/2026</t>
  </si>
  <si>
    <t>Suma de 25/07/2026</t>
  </si>
  <si>
    <t>Suma de 30/07/2026</t>
  </si>
  <si>
    <t>CONTRATISTA/ENTIDAD</t>
  </si>
  <si>
    <t>PROYECTO</t>
  </si>
  <si>
    <t>PROGRAMA</t>
  </si>
  <si>
    <t>TIPO DE SOLUCIÓN</t>
  </si>
  <si>
    <t>INVERSIÓN</t>
  </si>
  <si>
    <t>FECHA</t>
  </si>
  <si>
    <t>MES</t>
  </si>
  <si>
    <t>PLANEADO (USUARIOS)</t>
  </si>
  <si>
    <t>EJECUTADO (USUARIOS)</t>
  </si>
  <si>
    <t>CAPACIDAD (kWp) (PLANEADA)</t>
  </si>
  <si>
    <t>CAPACIDAD (kWp) (EJECUTADA)</t>
  </si>
  <si>
    <t>EFICIENCIA</t>
  </si>
  <si>
    <t>Cesar</t>
  </si>
  <si>
    <t>Becerril</t>
  </si>
  <si>
    <t>Comunidades Energéticas OR</t>
  </si>
  <si>
    <t>Individual</t>
  </si>
  <si>
    <t>Mayo</t>
  </si>
  <si>
    <t>Junio</t>
  </si>
  <si>
    <t>Julio</t>
  </si>
  <si>
    <t>Curumaní</t>
  </si>
  <si>
    <t>Magdalena</t>
  </si>
  <si>
    <t>Santa Marta</t>
  </si>
  <si>
    <t>Santander</t>
  </si>
  <si>
    <t>Guaca</t>
  </si>
  <si>
    <t>Nariño</t>
  </si>
  <si>
    <t>Ricaurte</t>
  </si>
  <si>
    <t>Norte de Santander</t>
  </si>
  <si>
    <t>La Guajira</t>
  </si>
  <si>
    <t>Maicao y Albania</t>
  </si>
  <si>
    <t>Caqueta</t>
  </si>
  <si>
    <t>Cartagena del Chaiira</t>
  </si>
  <si>
    <t>Meta</t>
  </si>
  <si>
    <t xml:space="preserve">La Uribe  </t>
  </si>
  <si>
    <t>Uribia</t>
  </si>
  <si>
    <t>Putumayo</t>
  </si>
  <si>
    <t>San Miguel, Valle del Guamuez,Villa Garzon,Puerto Guzman</t>
  </si>
  <si>
    <t>Gecelca</t>
  </si>
  <si>
    <t>Atlantico</t>
  </si>
  <si>
    <t>Villas de San Pablo</t>
  </si>
  <si>
    <t>Colombia Solar</t>
  </si>
  <si>
    <t>IPSE</t>
  </si>
  <si>
    <t>MANAURE</t>
  </si>
  <si>
    <t>Cauca</t>
  </si>
  <si>
    <t>ARGELIA, PATÍA, PIENDAMÓ, TUNÍA, SOTARÁ</t>
  </si>
  <si>
    <t>GUAPI</t>
  </si>
  <si>
    <t>LOPEZ DE MICAY</t>
  </si>
  <si>
    <t>ALBANIA</t>
  </si>
  <si>
    <t>Vichada</t>
  </si>
  <si>
    <t>LA PRIMAVERA</t>
  </si>
  <si>
    <t>FENOGE</t>
  </si>
  <si>
    <t>Región 2 Caquetá</t>
  </si>
  <si>
    <t>Florencia</t>
  </si>
  <si>
    <t>Fenoge 1.0 y 1.1</t>
  </si>
  <si>
    <t>Centralizadas</t>
  </si>
  <si>
    <t>Región 3 Meta, Casanare y Arauca</t>
  </si>
  <si>
    <t>Vista Hermosa (235 kWp)</t>
  </si>
  <si>
    <t>La Uribe (30 kWp)</t>
  </si>
  <si>
    <t>Vista Hermosa (1.000 kWp)</t>
  </si>
  <si>
    <t>Arauquita (1.000 kWp)</t>
  </si>
  <si>
    <t>Región 5 Huila y Tolima</t>
  </si>
  <si>
    <t>Agrado</t>
  </si>
  <si>
    <t>Chaparral</t>
  </si>
  <si>
    <t>Agosto</t>
  </si>
  <si>
    <t>Región 6 Cundinamarca</t>
  </si>
  <si>
    <t>Beltrán</t>
  </si>
  <si>
    <t>Región 8 Boyacá, Santander y Norte de Santander</t>
  </si>
  <si>
    <t>Barrancabermeja</t>
  </si>
  <si>
    <t>Villa de Leyva</t>
  </si>
  <si>
    <t>Tibú</t>
  </si>
  <si>
    <t>Región 11 Atlántico, Magdalena, César y Guajira</t>
  </si>
  <si>
    <t>Jagua de Ibirico (2)</t>
  </si>
  <si>
    <t>Riohacha</t>
  </si>
  <si>
    <t>Valores</t>
  </si>
  <si>
    <t>CONTRATISTA</t>
  </si>
  <si>
    <t>Suma de PLANEADO (USUARIOS)</t>
  </si>
  <si>
    <t>Suma de EJECUTADO (USUARIOS)</t>
  </si>
  <si>
    <t>Suma de CAPACIDAD (kWp) (PLANEADA)</t>
  </si>
  <si>
    <t>Suma de CAPACIDAD (kWp) (EJECUTADA)</t>
  </si>
  <si>
    <t>Suma de EFICIENCIA</t>
  </si>
  <si>
    <t>Suma de INVERSIÓN</t>
  </si>
  <si>
    <t>Total Dispac</t>
  </si>
  <si>
    <t>Total Electrocaqueta</t>
  </si>
  <si>
    <t>Total Gensa</t>
  </si>
  <si>
    <t>Total Gecelca</t>
  </si>
  <si>
    <t>Total IPSE</t>
  </si>
  <si>
    <t>Total FENOGE</t>
  </si>
  <si>
    <t>Total general</t>
  </si>
  <si>
    <t>Proyecto</t>
  </si>
  <si>
    <t>(Varios elementos)</t>
  </si>
  <si>
    <t>Suma de Inversion</t>
  </si>
  <si>
    <t>Departamento</t>
  </si>
  <si>
    <t>Total</t>
  </si>
  <si>
    <t>Total DISPAC</t>
  </si>
  <si>
    <t>Total ELECTROCAQUETA</t>
  </si>
  <si>
    <t>GECELCA</t>
  </si>
  <si>
    <t>Total GECELCA</t>
  </si>
  <si>
    <t>Caquetá</t>
  </si>
  <si>
    <t>Total GENSA</t>
  </si>
  <si>
    <t>Municipio</t>
  </si>
  <si>
    <t>Inversion</t>
  </si>
  <si>
    <t>Potencia a Instalar MWp</t>
  </si>
  <si>
    <t>Semaforo</t>
  </si>
  <si>
    <t>Observaciones</t>
  </si>
  <si>
    <t>Criterio</t>
  </si>
  <si>
    <t xml:space="preserve">Rango </t>
  </si>
  <si>
    <t>Calculo</t>
  </si>
  <si>
    <t>Maicao  Y Albania</t>
  </si>
  <si>
    <t>Rojo</t>
  </si>
  <si>
    <t>Teorama, El Carmen, Convención, Hacari, San Calixto, Tibu</t>
  </si>
  <si>
    <t>Amarillo</t>
  </si>
  <si>
    <t>Verde</t>
  </si>
  <si>
    <t xml:space="preserve">Santa Marta </t>
  </si>
  <si>
    <t>Bolivar, Charalá, El Peñón, Florian, La Belleza, Landazuri, Ocamonte, Simacota, Sucre, Zapatoca</t>
  </si>
  <si>
    <t xml:space="preserve">Guaca  </t>
  </si>
  <si>
    <t>La Uribe</t>
  </si>
  <si>
    <t xml:space="preserve">Becerril </t>
  </si>
  <si>
    <t>Curumani</t>
  </si>
  <si>
    <t>San Miguel</t>
  </si>
  <si>
    <t>Valle Del Guamuez</t>
  </si>
  <si>
    <t>Villa Garzon</t>
  </si>
  <si>
    <t>Puerto Guzman</t>
  </si>
  <si>
    <t>Cartagena Del Chaira</t>
  </si>
  <si>
    <t>Totales</t>
  </si>
  <si>
    <t>05/05/2026</t>
  </si>
  <si>
    <t>10/05/2026</t>
  </si>
  <si>
    <t>15/05/2026</t>
  </si>
  <si>
    <t>20/05/2026</t>
  </si>
  <si>
    <t>25/05/2026</t>
  </si>
  <si>
    <t>30/05/2026</t>
  </si>
  <si>
    <t>04/06/2026</t>
  </si>
  <si>
    <t>09/06/2026</t>
  </si>
  <si>
    <t>14/06/2026</t>
  </si>
  <si>
    <t>20/06/2026</t>
  </si>
  <si>
    <t>25/06/2026</t>
  </si>
  <si>
    <t>30/06/2026</t>
  </si>
  <si>
    <t>05/07/2026</t>
  </si>
  <si>
    <t>10/07/2026</t>
  </si>
  <si>
    <t>15/07/2026</t>
  </si>
  <si>
    <t>20/07/2026</t>
  </si>
  <si>
    <t>25/07/2026</t>
  </si>
  <si>
    <t>30/07/2026</t>
  </si>
  <si>
    <t>Nuqui</t>
  </si>
  <si>
    <t>Chocó</t>
  </si>
  <si>
    <t>Bahia Solano</t>
  </si>
  <si>
    <t>Maicao Y Albania</t>
  </si>
  <si>
    <t>Norte De Santander</t>
  </si>
  <si>
    <t>Santander 11 Municipios</t>
  </si>
  <si>
    <t>Santander - Guaca</t>
  </si>
  <si>
    <t>TOTALES</t>
  </si>
  <si>
    <t xml:space="preserve">  </t>
  </si>
  <si>
    <t>05/08/2026</t>
  </si>
  <si>
    <t>10/08/2026</t>
  </si>
  <si>
    <t>15/08/2026</t>
  </si>
  <si>
    <t>20/08/2026</t>
  </si>
  <si>
    <t>25/08/2026</t>
  </si>
  <si>
    <t>30/08/2026</t>
  </si>
  <si>
    <t>5/09/2026</t>
  </si>
  <si>
    <t>10/09/2026</t>
  </si>
  <si>
    <t>DATOS GENERALES</t>
  </si>
  <si>
    <t>MAYO</t>
  </si>
  <si>
    <t>JUNIO</t>
  </si>
  <si>
    <t>JULIO</t>
  </si>
  <si>
    <t>EJECUTADO MAYO</t>
  </si>
  <si>
    <t>EJECUTADO JUNIO</t>
  </si>
  <si>
    <t>EJECUTADO JULIO</t>
  </si>
  <si>
    <t>EJECUTADO AGOSTO</t>
  </si>
  <si>
    <t>Total usuarios</t>
  </si>
  <si>
    <t>Curva S proyectada - GECELCA</t>
  </si>
  <si>
    <t>Meta 20%</t>
  </si>
  <si>
    <t>Inicio constructivo</t>
  </si>
  <si>
    <t>Fecha meta</t>
  </si>
  <si>
    <t>PROYECTADO</t>
  </si>
  <si>
    <t>EJECUTADO</t>
  </si>
  <si>
    <t>Fecha</t>
  </si>
  <si>
    <t>Usuarios Planeados Acumulados</t>
  </si>
  <si>
    <t>Usuarios</t>
  </si>
  <si>
    <t>Usuarios Ejecutados Acumulados</t>
  </si>
  <si>
    <t>Curva S proyectada - BECERRIL</t>
  </si>
  <si>
    <t>Meta 64% ( 11 Jun)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</si>
</sst>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&quot;$&quot;#,##0_);[Red]\(&quot;$&quot;#,##0\)"/>
    <numFmt numFmtId="165" formatCode="dd/mm/yyyy"/>
    <numFmt numFmtId="166" formatCode="#,##0.00000"/>
    <numFmt numFmtId="167" formatCode="_-&quot;$&quot;\ * #,##0_-;\-&quot;$&quot;\ * #,##0_-;_-&quot;$&quot;\ * &quot;-&quot;??_-;_-@_-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name val="Carlito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Arial"/>
      <family val="2"/>
    </font>
    <font>
      <b/>
      <sz val="16"/>
      <name val="Arial"/>
      <family val="2"/>
    </font>
    <font>
      <sz val="12"/>
      <name val="Times New Roman"/>
      <family val="1"/>
    </font>
    <font>
      <b/>
      <sz val="10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sz val="10"/>
      <name val="Aptos Narrow"/>
      <family val="2"/>
    </font>
    <font>
      <sz val="11"/>
      <name val="Aptos Narrow"/>
      <family val="2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EAF7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44B3E1"/>
      </top>
      <bottom style="thin">
        <color rgb="FF000000"/>
      </bottom>
      <diagonal/>
    </border>
    <border>
      <left/>
      <right style="thin">
        <color rgb="FF000000"/>
      </right>
      <top style="thin">
        <color rgb="FF44B3E1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</cellStyleXfs>
  <cellXfs count="247">
    <xf numFmtId="0" fontId="0" fillId="0" borderId="0" xfId="0"/>
    <xf numFmtId="0" fontId="0" fillId="0" borderId="0" xfId="0" applyAlignment="1">
      <alignment horizontal="center"/>
    </xf>
    <xf numFmtId="9" fontId="0" fillId="0" borderId="0" xfId="2" applyFont="1" applyAlignment="1">
      <alignment horizontal="center"/>
    </xf>
    <xf numFmtId="16" fontId="0" fillId="0" borderId="0" xfId="0" applyNumberFormat="1"/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0" xfId="0" pivotButton="1"/>
    <xf numFmtId="0" fontId="3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" fontId="0" fillId="2" borderId="1" xfId="0" applyNumberFormat="1" applyFill="1" applyBorder="1"/>
    <xf numFmtId="16" fontId="0" fillId="4" borderId="1" xfId="0" applyNumberFormat="1" applyFill="1" applyBorder="1"/>
    <xf numFmtId="16" fontId="0" fillId="5" borderId="1" xfId="0" applyNumberFormat="1" applyFill="1" applyBorder="1"/>
    <xf numFmtId="9" fontId="0" fillId="0" borderId="0" xfId="0" applyNumberFormat="1"/>
    <xf numFmtId="3" fontId="0" fillId="0" borderId="0" xfId="0" applyNumberFormat="1"/>
    <xf numFmtId="16" fontId="0" fillId="0" borderId="0" xfId="0" applyNumberFormat="1" applyAlignment="1">
      <alignment horizontal="center"/>
    </xf>
    <xf numFmtId="0" fontId="4" fillId="3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44" fontId="0" fillId="0" borderId="0" xfId="1" applyFont="1"/>
    <xf numFmtId="44" fontId="0" fillId="0" borderId="0" xfId="0" applyNumberFormat="1"/>
    <xf numFmtId="2" fontId="0" fillId="0" borderId="0" xfId="0" applyNumberFormat="1" applyAlignment="1">
      <alignment horizontal="center"/>
    </xf>
    <xf numFmtId="0" fontId="4" fillId="7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16" fontId="0" fillId="7" borderId="1" xfId="0" applyNumberFormat="1" applyFill="1" applyBorder="1"/>
    <xf numFmtId="2" fontId="0" fillId="0" borderId="0" xfId="0" applyNumberFormat="1"/>
    <xf numFmtId="0" fontId="0" fillId="0" borderId="0" xfId="0" pivotButton="1" applyAlignment="1">
      <alignment vertical="center" wrapText="1"/>
    </xf>
    <xf numFmtId="0" fontId="3" fillId="7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/>
    <xf numFmtId="8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6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7" xfId="0" applyBorder="1"/>
    <xf numFmtId="8" fontId="0" fillId="0" borderId="7" xfId="0" applyNumberFormat="1" applyBorder="1"/>
    <xf numFmtId="0" fontId="0" fillId="0" borderId="7" xfId="0" applyBorder="1" applyAlignment="1">
      <alignment horizontal="center"/>
    </xf>
    <xf numFmtId="0" fontId="0" fillId="0" borderId="8" xfId="0" applyBorder="1"/>
    <xf numFmtId="6" fontId="0" fillId="8" borderId="10" xfId="0" applyNumberFormat="1" applyFill="1" applyBorder="1"/>
    <xf numFmtId="4" fontId="0" fillId="8" borderId="10" xfId="0" applyNumberFormat="1" applyFill="1" applyBorder="1"/>
    <xf numFmtId="0" fontId="0" fillId="8" borderId="10" xfId="0" applyFill="1" applyBorder="1"/>
    <xf numFmtId="0" fontId="0" fillId="8" borderId="11" xfId="0" applyFill="1" applyBorder="1"/>
    <xf numFmtId="16" fontId="0" fillId="0" borderId="1" xfId="0" applyNumberFormat="1" applyBorder="1" applyAlignment="1">
      <alignment horizontal="center"/>
    </xf>
    <xf numFmtId="0" fontId="6" fillId="0" borderId="0" xfId="3" applyFont="1" applyAlignment="1">
      <alignment vertical="center" wrapText="1"/>
    </xf>
    <xf numFmtId="0" fontId="5" fillId="0" borderId="0" xfId="3" applyAlignment="1">
      <alignment vertical="center" wrapText="1"/>
    </xf>
    <xf numFmtId="0" fontId="7" fillId="0" borderId="0" xfId="3" applyFont="1" applyAlignment="1">
      <alignment vertical="center" wrapText="1"/>
    </xf>
    <xf numFmtId="3" fontId="8" fillId="0" borderId="0" xfId="3" applyNumberFormat="1" applyFont="1" applyAlignment="1">
      <alignment horizontal="center" vertical="center" wrapText="1"/>
    </xf>
    <xf numFmtId="165" fontId="8" fillId="0" borderId="0" xfId="3" applyNumberFormat="1" applyFont="1" applyAlignment="1">
      <alignment horizontal="center" vertical="center" wrapText="1"/>
    </xf>
    <xf numFmtId="0" fontId="7" fillId="11" borderId="17" xfId="3" applyFont="1" applyFill="1" applyBorder="1" applyAlignment="1">
      <alignment horizontal="center" vertical="center" wrapText="1"/>
    </xf>
    <xf numFmtId="0" fontId="7" fillId="9" borderId="19" xfId="3" applyFont="1" applyFill="1" applyBorder="1" applyAlignment="1">
      <alignment horizontal="center" vertical="center" wrapText="1"/>
    </xf>
    <xf numFmtId="0" fontId="7" fillId="9" borderId="9" xfId="3" applyFont="1" applyFill="1" applyBorder="1" applyAlignment="1">
      <alignment horizontal="center" vertical="center" wrapText="1"/>
    </xf>
    <xf numFmtId="0" fontId="7" fillId="10" borderId="9" xfId="3" applyFont="1" applyFill="1" applyBorder="1" applyAlignment="1">
      <alignment horizontal="center" vertical="center" wrapText="1"/>
    </xf>
    <xf numFmtId="0" fontId="7" fillId="10" borderId="10" xfId="3" applyFont="1" applyFill="1" applyBorder="1" applyAlignment="1">
      <alignment horizontal="center" vertical="center" wrapText="1"/>
    </xf>
    <xf numFmtId="165" fontId="6" fillId="0" borderId="20" xfId="3" applyNumberFormat="1" applyFont="1" applyBorder="1" applyAlignment="1">
      <alignment horizontal="center" vertical="center" wrapText="1"/>
    </xf>
    <xf numFmtId="1" fontId="10" fillId="0" borderId="21" xfId="4" applyNumberFormat="1" applyFont="1" applyFill="1" applyBorder="1" applyAlignment="1">
      <alignment horizontal="center" vertical="center" wrapText="1"/>
    </xf>
    <xf numFmtId="0" fontId="10" fillId="0" borderId="21" xfId="3" applyFont="1" applyBorder="1" applyAlignment="1">
      <alignment horizontal="center" vertical="center" wrapText="1"/>
    </xf>
    <xf numFmtId="1" fontId="10" fillId="0" borderId="22" xfId="3" applyNumberFormat="1" applyFont="1" applyBorder="1" applyAlignment="1">
      <alignment horizontal="center" vertical="center" wrapText="1"/>
    </xf>
    <xf numFmtId="1" fontId="10" fillId="0" borderId="1" xfId="3" applyNumberFormat="1" applyFont="1" applyBorder="1" applyAlignment="1">
      <alignment horizontal="center" vertical="center" wrapText="1"/>
    </xf>
    <xf numFmtId="9" fontId="0" fillId="0" borderId="0" xfId="4" applyFont="1" applyAlignment="1">
      <alignment vertical="center" wrapText="1"/>
    </xf>
    <xf numFmtId="1" fontId="5" fillId="0" borderId="0" xfId="3" applyNumberFormat="1" applyAlignment="1">
      <alignment vertical="center" wrapText="1"/>
    </xf>
    <xf numFmtId="16" fontId="6" fillId="0" borderId="20" xfId="3" applyNumberFormat="1" applyFont="1" applyBorder="1" applyAlignment="1">
      <alignment horizontal="center" vertical="center" wrapText="1"/>
    </xf>
    <xf numFmtId="0" fontId="7" fillId="7" borderId="19" xfId="3" applyFont="1" applyFill="1" applyBorder="1" applyAlignment="1">
      <alignment horizontal="center" vertical="center" wrapText="1"/>
    </xf>
    <xf numFmtId="0" fontId="7" fillId="7" borderId="9" xfId="3" applyFont="1" applyFill="1" applyBorder="1" applyAlignment="1">
      <alignment horizontal="center" vertical="center" wrapText="1"/>
    </xf>
    <xf numFmtId="0" fontId="7" fillId="13" borderId="9" xfId="3" applyFont="1" applyFill="1" applyBorder="1" applyAlignment="1">
      <alignment horizontal="center" vertical="center" wrapText="1"/>
    </xf>
    <xf numFmtId="0" fontId="7" fillId="13" borderId="10" xfId="3" applyFont="1" applyFill="1" applyBorder="1" applyAlignment="1">
      <alignment horizontal="center" vertical="center" wrapText="1"/>
    </xf>
    <xf numFmtId="9" fontId="6" fillId="0" borderId="0" xfId="2" applyFont="1" applyAlignment="1">
      <alignment vertical="center" wrapText="1"/>
    </xf>
    <xf numFmtId="0" fontId="11" fillId="13" borderId="23" xfId="0" applyFont="1" applyFill="1" applyBorder="1" applyAlignment="1">
      <alignment horizontal="center" vertical="center" wrapText="1"/>
    </xf>
    <xf numFmtId="0" fontId="11" fillId="13" borderId="22" xfId="0" applyFont="1" applyFill="1" applyBorder="1" applyAlignment="1">
      <alignment horizontal="center" vertical="center" wrapText="1"/>
    </xf>
    <xf numFmtId="165" fontId="11" fillId="13" borderId="2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 wrapText="1"/>
    </xf>
    <xf numFmtId="2" fontId="13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164" fontId="13" fillId="0" borderId="7" xfId="0" applyNumberFormat="1" applyFont="1" applyBorder="1" applyAlignment="1">
      <alignment horizontal="center" vertical="center" wrapText="1"/>
    </xf>
    <xf numFmtId="2" fontId="13" fillId="0" borderId="7" xfId="0" applyNumberFormat="1" applyFont="1" applyBorder="1" applyAlignment="1">
      <alignment horizontal="center" vertical="center" wrapText="1"/>
    </xf>
    <xf numFmtId="2" fontId="14" fillId="0" borderId="7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165" fontId="11" fillId="13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3" fontId="13" fillId="0" borderId="25" xfId="0" applyNumberFormat="1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 wrapText="1"/>
    </xf>
    <xf numFmtId="3" fontId="13" fillId="0" borderId="27" xfId="0" applyNumberFormat="1" applyFont="1" applyBorder="1" applyAlignment="1">
      <alignment horizontal="center" vertical="center" wrapText="1"/>
    </xf>
    <xf numFmtId="3" fontId="13" fillId="0" borderId="7" xfId="0" applyNumberFormat="1" applyFont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3" fontId="3" fillId="0" borderId="10" xfId="0" applyNumberFormat="1" applyFont="1" applyBorder="1" applyAlignment="1">
      <alignment horizontal="center" vertical="center" wrapText="1"/>
    </xf>
    <xf numFmtId="3" fontId="3" fillId="0" borderId="11" xfId="0" applyNumberFormat="1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3" fontId="14" fillId="0" borderId="7" xfId="0" applyNumberFormat="1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2" fontId="14" fillId="0" borderId="22" xfId="0" applyNumberFormat="1" applyFont="1" applyBorder="1" applyAlignment="1">
      <alignment horizontal="center" vertical="center" wrapText="1"/>
    </xf>
    <xf numFmtId="2" fontId="12" fillId="0" borderId="10" xfId="0" applyNumberFormat="1" applyFont="1" applyBorder="1" applyAlignment="1">
      <alignment horizontal="center" vertical="center" wrapText="1"/>
    </xf>
    <xf numFmtId="3" fontId="12" fillId="0" borderId="10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4" fontId="12" fillId="0" borderId="10" xfId="0" applyNumberFormat="1" applyFont="1" applyBorder="1" applyAlignment="1">
      <alignment horizontal="center" vertical="center" wrapText="1"/>
    </xf>
    <xf numFmtId="44" fontId="13" fillId="0" borderId="1" xfId="1" applyFont="1" applyBorder="1" applyAlignment="1">
      <alignment horizontal="center" vertical="center" wrapText="1"/>
    </xf>
    <xf numFmtId="44" fontId="13" fillId="0" borderId="1" xfId="1" applyFont="1" applyFill="1" applyBorder="1" applyAlignment="1">
      <alignment horizontal="center" vertical="center" wrapText="1"/>
    </xf>
    <xf numFmtId="44" fontId="16" fillId="0" borderId="7" xfId="1" applyFont="1" applyBorder="1" applyAlignment="1">
      <alignment horizontal="center" vertical="center" wrapText="1"/>
    </xf>
    <xf numFmtId="4" fontId="13" fillId="0" borderId="1" xfId="0" applyNumberFormat="1" applyFont="1" applyBorder="1" applyAlignment="1">
      <alignment horizontal="center" vertical="center" wrapText="1"/>
    </xf>
    <xf numFmtId="4" fontId="13" fillId="0" borderId="7" xfId="0" applyNumberFormat="1" applyFont="1" applyBorder="1" applyAlignment="1">
      <alignment horizontal="center" vertical="center" wrapText="1"/>
    </xf>
    <xf numFmtId="164" fontId="3" fillId="0" borderId="10" xfId="0" applyNumberFormat="1" applyFont="1" applyBorder="1" applyAlignment="1">
      <alignment vertical="center" wrapText="1"/>
    </xf>
    <xf numFmtId="2" fontId="3" fillId="0" borderId="10" xfId="0" applyNumberFormat="1" applyFont="1" applyBorder="1" applyAlignment="1">
      <alignment horizontal="center" vertical="center" wrapText="1"/>
    </xf>
    <xf numFmtId="44" fontId="11" fillId="0" borderId="10" xfId="1" applyFont="1" applyBorder="1" applyAlignment="1">
      <alignment horizontal="center" vertical="center" wrapText="1"/>
    </xf>
    <xf numFmtId="164" fontId="12" fillId="0" borderId="10" xfId="0" applyNumberFormat="1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14" borderId="0" xfId="0" applyFont="1" applyFill="1" applyAlignment="1">
      <alignment horizontal="center" vertical="center" wrapText="1"/>
    </xf>
    <xf numFmtId="0" fontId="16" fillId="14" borderId="0" xfId="0" applyFont="1" applyFill="1" applyAlignment="1">
      <alignment horizontal="center" vertical="center" wrapText="1"/>
    </xf>
    <xf numFmtId="2" fontId="14" fillId="14" borderId="0" xfId="0" applyNumberFormat="1" applyFont="1" applyFill="1" applyAlignment="1">
      <alignment horizontal="center" vertical="center" wrapText="1"/>
    </xf>
    <xf numFmtId="165" fontId="11" fillId="13" borderId="26" xfId="0" applyNumberFormat="1" applyFont="1" applyFill="1" applyBorder="1" applyAlignment="1">
      <alignment horizontal="center" vertical="center" wrapText="1"/>
    </xf>
    <xf numFmtId="3" fontId="13" fillId="0" borderId="26" xfId="0" applyNumberFormat="1" applyFont="1" applyBorder="1" applyAlignment="1">
      <alignment horizontal="center" vertical="center" wrapText="1"/>
    </xf>
    <xf numFmtId="3" fontId="14" fillId="0" borderId="28" xfId="0" applyNumberFormat="1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2" fillId="14" borderId="0" xfId="0" applyFont="1" applyFill="1" applyAlignment="1">
      <alignment horizontal="center" vertical="center" wrapText="1"/>
    </xf>
    <xf numFmtId="164" fontId="12" fillId="0" borderId="1" xfId="0" applyNumberFormat="1" applyFont="1" applyBorder="1" applyAlignment="1">
      <alignment vertical="center" wrapText="1"/>
    </xf>
    <xf numFmtId="0" fontId="0" fillId="14" borderId="0" xfId="0" applyFill="1" applyAlignment="1">
      <alignment horizontal="center" vertical="center" wrapText="1"/>
    </xf>
    <xf numFmtId="0" fontId="15" fillId="14" borderId="0" xfId="0" applyFont="1" applyFill="1" applyAlignment="1">
      <alignment horizontal="center" vertical="center" wrapText="1"/>
    </xf>
    <xf numFmtId="2" fontId="0" fillId="14" borderId="0" xfId="0" applyNumberFormat="1" applyFill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0" fontId="3" fillId="14" borderId="0" xfId="0" applyFont="1" applyFill="1" applyAlignment="1">
      <alignment horizontal="center" vertical="center" wrapText="1"/>
    </xf>
    <xf numFmtId="165" fontId="11" fillId="13" borderId="24" xfId="0" applyNumberFormat="1" applyFont="1" applyFill="1" applyBorder="1" applyAlignment="1">
      <alignment horizontal="center" vertical="center" wrapText="1"/>
    </xf>
    <xf numFmtId="3" fontId="13" fillId="0" borderId="28" xfId="0" applyNumberFormat="1" applyFont="1" applyBorder="1" applyAlignment="1">
      <alignment horizontal="center" vertical="center" wrapText="1"/>
    </xf>
    <xf numFmtId="3" fontId="3" fillId="14" borderId="10" xfId="0" applyNumberFormat="1" applyFont="1" applyFill="1" applyBorder="1" applyAlignment="1">
      <alignment horizontal="center" vertical="center" wrapText="1"/>
    </xf>
    <xf numFmtId="3" fontId="3" fillId="14" borderId="10" xfId="0" applyNumberFormat="1" applyFont="1" applyFill="1" applyBorder="1" applyAlignment="1">
      <alignment vertical="center" wrapText="1"/>
    </xf>
    <xf numFmtId="4" fontId="3" fillId="14" borderId="10" xfId="0" applyNumberFormat="1" applyFont="1" applyFill="1" applyBorder="1" applyAlignment="1">
      <alignment horizontal="center" vertical="center" wrapText="1"/>
    </xf>
    <xf numFmtId="3" fontId="3" fillId="14" borderId="11" xfId="0" applyNumberFormat="1" applyFont="1" applyFill="1" applyBorder="1" applyAlignment="1">
      <alignment horizontal="center" vertical="center" wrapText="1"/>
    </xf>
    <xf numFmtId="164" fontId="3" fillId="14" borderId="10" xfId="0" applyNumberFormat="1" applyFont="1" applyFill="1" applyBorder="1" applyAlignment="1">
      <alignment vertical="center" wrapText="1"/>
    </xf>
    <xf numFmtId="2" fontId="3" fillId="14" borderId="10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" fontId="14" fillId="0" borderId="0" xfId="0" applyNumberFormat="1" applyFont="1" applyAlignment="1">
      <alignment horizontal="center" vertical="center" wrapText="1"/>
    </xf>
    <xf numFmtId="164" fontId="12" fillId="14" borderId="10" xfId="0" applyNumberFormat="1" applyFont="1" applyFill="1" applyBorder="1" applyAlignment="1">
      <alignment vertical="center" wrapText="1"/>
    </xf>
    <xf numFmtId="2" fontId="12" fillId="14" borderId="10" xfId="0" applyNumberFormat="1" applyFont="1" applyFill="1" applyBorder="1" applyAlignment="1">
      <alignment horizontal="center" vertical="center" wrapText="1"/>
    </xf>
    <xf numFmtId="3" fontId="12" fillId="14" borderId="10" xfId="0" applyNumberFormat="1" applyFont="1" applyFill="1" applyBorder="1" applyAlignment="1">
      <alignment horizontal="center" vertical="center" wrapText="1"/>
    </xf>
    <xf numFmtId="3" fontId="12" fillId="14" borderId="11" xfId="0" applyNumberFormat="1" applyFont="1" applyFill="1" applyBorder="1" applyAlignment="1">
      <alignment horizontal="center" vertical="center" wrapText="1"/>
    </xf>
    <xf numFmtId="3" fontId="12" fillId="0" borderId="11" xfId="0" applyNumberFormat="1" applyFont="1" applyBorder="1" applyAlignment="1">
      <alignment horizontal="center" vertical="center" wrapText="1"/>
    </xf>
    <xf numFmtId="3" fontId="13" fillId="0" borderId="0" xfId="0" applyNumberFormat="1" applyFont="1" applyAlignment="1">
      <alignment horizontal="center" vertical="center" wrapText="1"/>
    </xf>
    <xf numFmtId="4" fontId="13" fillId="0" borderId="0" xfId="0" applyNumberFormat="1" applyFont="1" applyAlignment="1">
      <alignment horizontal="center" vertical="center" wrapText="1"/>
    </xf>
    <xf numFmtId="44" fontId="13" fillId="0" borderId="7" xfId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7" fillId="0" borderId="30" xfId="0" applyFont="1" applyBorder="1"/>
    <xf numFmtId="0" fontId="17" fillId="0" borderId="31" xfId="0" applyFont="1" applyBorder="1"/>
    <xf numFmtId="166" fontId="13" fillId="0" borderId="1" xfId="0" applyNumberFormat="1" applyFont="1" applyBorder="1" applyAlignment="1">
      <alignment horizontal="center" vertical="center" wrapText="1"/>
    </xf>
    <xf numFmtId="3" fontId="0" fillId="14" borderId="0" xfId="0" applyNumberFormat="1" applyFill="1" applyAlignment="1">
      <alignment horizontal="center" vertical="center" wrapText="1"/>
    </xf>
    <xf numFmtId="3" fontId="0" fillId="0" borderId="0" xfId="0" applyNumberFormat="1" applyAlignment="1">
      <alignment horizontal="center"/>
    </xf>
    <xf numFmtId="0" fontId="3" fillId="15" borderId="0" xfId="0" applyFont="1" applyFill="1" applyAlignment="1">
      <alignment horizontal="center"/>
    </xf>
    <xf numFmtId="3" fontId="13" fillId="0" borderId="22" xfId="0" applyNumberFormat="1" applyFont="1" applyBorder="1" applyAlignment="1">
      <alignment horizontal="center" vertical="center" wrapText="1"/>
    </xf>
    <xf numFmtId="165" fontId="12" fillId="13" borderId="22" xfId="0" applyNumberFormat="1" applyFont="1" applyFill="1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center" vertical="center" wrapText="1"/>
    </xf>
    <xf numFmtId="3" fontId="18" fillId="0" borderId="22" xfId="0" applyNumberFormat="1" applyFont="1" applyBorder="1" applyAlignment="1">
      <alignment horizontal="center" vertical="center" wrapText="1"/>
    </xf>
    <xf numFmtId="3" fontId="18" fillId="0" borderId="7" xfId="0" applyNumberFormat="1" applyFont="1" applyBorder="1" applyAlignment="1">
      <alignment horizontal="center" vertical="center" wrapText="1"/>
    </xf>
    <xf numFmtId="0" fontId="12" fillId="13" borderId="29" xfId="0" applyFont="1" applyFill="1" applyBorder="1" applyAlignment="1">
      <alignment horizontal="center" vertical="center" wrapText="1"/>
    </xf>
    <xf numFmtId="0" fontId="12" fillId="13" borderId="0" xfId="0" applyFont="1" applyFill="1" applyAlignment="1">
      <alignment horizontal="center" vertical="center" wrapText="1"/>
    </xf>
    <xf numFmtId="0" fontId="12" fillId="13" borderId="32" xfId="0" applyFont="1" applyFill="1" applyBorder="1" applyAlignment="1">
      <alignment horizontal="center" vertical="center" wrapText="1"/>
    </xf>
    <xf numFmtId="2" fontId="0" fillId="14" borderId="0" xfId="0" applyNumberFormat="1" applyFill="1" applyAlignment="1">
      <alignment horizontal="left" vertical="center" wrapText="1"/>
    </xf>
    <xf numFmtId="2" fontId="3" fillId="13" borderId="33" xfId="0" applyNumberFormat="1" applyFont="1" applyFill="1" applyBorder="1" applyAlignment="1">
      <alignment horizontal="left" vertical="center" wrapText="1"/>
    </xf>
    <xf numFmtId="3" fontId="3" fillId="13" borderId="33" xfId="0" applyNumberFormat="1" applyFont="1" applyFill="1" applyBorder="1" applyAlignment="1">
      <alignment horizontal="center" vertical="center" wrapText="1"/>
    </xf>
    <xf numFmtId="0" fontId="0" fillId="17" borderId="0" xfId="0" applyFill="1"/>
    <xf numFmtId="0" fontId="0" fillId="15" borderId="0" xfId="0" applyFill="1"/>
    <xf numFmtId="0" fontId="0" fillId="18" borderId="0" xfId="0" applyFill="1"/>
    <xf numFmtId="9" fontId="0" fillId="0" borderId="0" xfId="0" applyNumberFormat="1" applyAlignment="1">
      <alignment horizontal="center"/>
    </xf>
    <xf numFmtId="9" fontId="0" fillId="0" borderId="0" xfId="2" applyFont="1"/>
    <xf numFmtId="0" fontId="0" fillId="14" borderId="0" xfId="0" applyFill="1"/>
    <xf numFmtId="164" fontId="3" fillId="14" borderId="33" xfId="0" applyNumberFormat="1" applyFont="1" applyFill="1" applyBorder="1" applyAlignment="1">
      <alignment horizontal="center"/>
    </xf>
    <xf numFmtId="2" fontId="3" fillId="14" borderId="33" xfId="0" applyNumberFormat="1" applyFont="1" applyFill="1" applyBorder="1" applyAlignment="1">
      <alignment horizontal="center"/>
    </xf>
    <xf numFmtId="3" fontId="3" fillId="14" borderId="33" xfId="0" applyNumberFormat="1" applyFont="1" applyFill="1" applyBorder="1" applyAlignment="1">
      <alignment horizontal="center"/>
    </xf>
    <xf numFmtId="0" fontId="11" fillId="13" borderId="25" xfId="0" applyFont="1" applyFill="1" applyBorder="1" applyAlignment="1">
      <alignment horizontal="center" vertical="center" wrapText="1"/>
    </xf>
    <xf numFmtId="3" fontId="13" fillId="16" borderId="25" xfId="0" applyNumberFormat="1" applyFont="1" applyFill="1" applyBorder="1" applyAlignment="1">
      <alignment horizontal="center" vertical="center" wrapText="1"/>
    </xf>
    <xf numFmtId="3" fontId="13" fillId="14" borderId="25" xfId="0" applyNumberFormat="1" applyFont="1" applyFill="1" applyBorder="1" applyAlignment="1">
      <alignment horizontal="center" vertical="center" wrapText="1"/>
    </xf>
    <xf numFmtId="3" fontId="13" fillId="16" borderId="34" xfId="0" applyNumberFormat="1" applyFont="1" applyFill="1" applyBorder="1" applyAlignment="1">
      <alignment horizontal="center" vertical="center" wrapText="1"/>
    </xf>
    <xf numFmtId="0" fontId="13" fillId="16" borderId="0" xfId="0" applyFont="1" applyFill="1" applyAlignment="1">
      <alignment horizontal="center" vertical="center" wrapText="1"/>
    </xf>
    <xf numFmtId="164" fontId="13" fillId="16" borderId="0" xfId="0" applyNumberFormat="1" applyFont="1" applyFill="1" applyAlignment="1">
      <alignment horizontal="center" vertical="center" wrapText="1"/>
    </xf>
    <xf numFmtId="2" fontId="13" fillId="16" borderId="0" xfId="0" applyNumberFormat="1" applyFont="1" applyFill="1" applyAlignment="1">
      <alignment horizontal="center" vertical="center" wrapText="1"/>
    </xf>
    <xf numFmtId="3" fontId="13" fillId="16" borderId="0" xfId="0" applyNumberFormat="1" applyFont="1" applyFill="1" applyAlignment="1">
      <alignment horizontal="center" vertical="center" wrapText="1"/>
    </xf>
    <xf numFmtId="9" fontId="13" fillId="14" borderId="0" xfId="2" applyFont="1" applyFill="1" applyBorder="1" applyAlignment="1">
      <alignment horizontal="center" vertical="center" wrapText="1"/>
    </xf>
    <xf numFmtId="0" fontId="13" fillId="14" borderId="0" xfId="0" applyFont="1" applyFill="1" applyAlignment="1">
      <alignment horizontal="center" vertical="center" wrapText="1"/>
    </xf>
    <xf numFmtId="164" fontId="13" fillId="14" borderId="0" xfId="0" applyNumberFormat="1" applyFont="1" applyFill="1" applyAlignment="1">
      <alignment horizontal="center" vertical="center" wrapText="1"/>
    </xf>
    <xf numFmtId="2" fontId="13" fillId="14" borderId="0" xfId="0" applyNumberFormat="1" applyFont="1" applyFill="1" applyAlignment="1">
      <alignment horizontal="center" vertical="center" wrapText="1"/>
    </xf>
    <xf numFmtId="3" fontId="13" fillId="14" borderId="0" xfId="0" applyNumberFormat="1" applyFont="1" applyFill="1" applyAlignment="1">
      <alignment horizontal="center" vertical="center" wrapText="1"/>
    </xf>
    <xf numFmtId="9" fontId="13" fillId="16" borderId="0" xfId="2" applyFont="1" applyFill="1" applyBorder="1" applyAlignment="1">
      <alignment horizontal="center" vertical="center" wrapText="1"/>
    </xf>
    <xf numFmtId="4" fontId="13" fillId="14" borderId="0" xfId="0" applyNumberFormat="1" applyFont="1" applyFill="1" applyAlignment="1">
      <alignment horizontal="center" vertical="center" wrapText="1"/>
    </xf>
    <xf numFmtId="0" fontId="0" fillId="14" borderId="33" xfId="0" applyFill="1" applyBorder="1"/>
    <xf numFmtId="0" fontId="11" fillId="19" borderId="33" xfId="0" applyFont="1" applyFill="1" applyBorder="1" applyAlignment="1">
      <alignment horizontal="center" vertical="center" wrapText="1"/>
    </xf>
    <xf numFmtId="167" fontId="0" fillId="0" borderId="0" xfId="1" applyNumberFormat="1" applyFont="1"/>
    <xf numFmtId="0" fontId="0" fillId="19" borderId="0" xfId="0" applyFill="1"/>
    <xf numFmtId="167" fontId="0" fillId="0" borderId="0" xfId="0" applyNumberFormat="1"/>
    <xf numFmtId="167" fontId="0" fillId="19" borderId="0" xfId="0" applyNumberFormat="1" applyFill="1"/>
    <xf numFmtId="0" fontId="19" fillId="0" borderId="0" xfId="0" applyFont="1" applyAlignment="1">
      <alignment horizontal="center" vertical="center" wrapText="1"/>
    </xf>
    <xf numFmtId="165" fontId="12" fillId="13" borderId="35" xfId="0" applyNumberFormat="1" applyFont="1" applyFill="1" applyBorder="1" applyAlignment="1">
      <alignment horizontal="center" vertical="center" wrapText="1"/>
    </xf>
    <xf numFmtId="3" fontId="3" fillId="14" borderId="9" xfId="0" applyNumberFormat="1" applyFont="1" applyFill="1" applyBorder="1" applyAlignment="1">
      <alignment horizontal="center" vertical="center" wrapText="1"/>
    </xf>
    <xf numFmtId="3" fontId="3" fillId="14" borderId="10" xfId="0" applyNumberFormat="1" applyFont="1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3" fillId="1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14" borderId="33" xfId="0" applyFont="1" applyFill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14" borderId="9" xfId="0" applyFont="1" applyFill="1" applyBorder="1" applyAlignment="1">
      <alignment horizontal="center" vertical="center" wrapText="1"/>
    </xf>
    <xf numFmtId="0" fontId="3" fillId="14" borderId="10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14" borderId="9" xfId="0" applyFont="1" applyFill="1" applyBorder="1" applyAlignment="1">
      <alignment horizontal="center" vertical="center" wrapText="1"/>
    </xf>
    <xf numFmtId="0" fontId="12" fillId="14" borderId="10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7" fontId="3" fillId="0" borderId="1" xfId="0" applyNumberFormat="1" applyFont="1" applyBorder="1" applyAlignment="1">
      <alignment horizontal="center"/>
    </xf>
    <xf numFmtId="0" fontId="9" fillId="6" borderId="12" xfId="3" applyFont="1" applyFill="1" applyBorder="1" applyAlignment="1">
      <alignment horizontal="center" vertical="center" wrapText="1"/>
    </xf>
    <xf numFmtId="0" fontId="9" fillId="6" borderId="13" xfId="3" applyFont="1" applyFill="1" applyBorder="1" applyAlignment="1">
      <alignment horizontal="center" vertical="center" wrapText="1"/>
    </xf>
    <xf numFmtId="0" fontId="9" fillId="6" borderId="14" xfId="3" applyFont="1" applyFill="1" applyBorder="1" applyAlignment="1">
      <alignment horizontal="center" vertical="center" wrapText="1"/>
    </xf>
    <xf numFmtId="0" fontId="9" fillId="6" borderId="0" xfId="3" applyFont="1" applyFill="1" applyAlignment="1">
      <alignment horizontal="center" vertical="center" wrapText="1"/>
    </xf>
    <xf numFmtId="0" fontId="9" fillId="6" borderId="15" xfId="3" applyFont="1" applyFill="1" applyBorder="1" applyAlignment="1">
      <alignment horizontal="center" vertical="center" wrapText="1"/>
    </xf>
    <xf numFmtId="0" fontId="9" fillId="6" borderId="16" xfId="3" applyFont="1" applyFill="1" applyBorder="1" applyAlignment="1">
      <alignment horizontal="center" vertical="center" wrapText="1"/>
    </xf>
    <xf numFmtId="0" fontId="7" fillId="9" borderId="17" xfId="3" applyFont="1" applyFill="1" applyBorder="1" applyAlignment="1">
      <alignment horizontal="center" vertical="center" wrapText="1"/>
    </xf>
    <xf numFmtId="0" fontId="7" fillId="9" borderId="18" xfId="3" applyFont="1" applyFill="1" applyBorder="1" applyAlignment="1">
      <alignment horizontal="center" vertical="center" wrapText="1"/>
    </xf>
    <xf numFmtId="0" fontId="7" fillId="10" borderId="12" xfId="3" applyFont="1" applyFill="1" applyBorder="1" applyAlignment="1">
      <alignment horizontal="center" vertical="center" wrapText="1"/>
    </xf>
    <xf numFmtId="0" fontId="7" fillId="10" borderId="13" xfId="3" applyFont="1" applyFill="1" applyBorder="1" applyAlignment="1">
      <alignment horizontal="center" vertical="center" wrapText="1"/>
    </xf>
    <xf numFmtId="0" fontId="9" fillId="12" borderId="12" xfId="3" applyFont="1" applyFill="1" applyBorder="1" applyAlignment="1">
      <alignment horizontal="center" vertical="center" wrapText="1"/>
    </xf>
    <xf numFmtId="0" fontId="9" fillId="12" borderId="13" xfId="3" applyFont="1" applyFill="1" applyBorder="1" applyAlignment="1">
      <alignment horizontal="center" vertical="center" wrapText="1"/>
    </xf>
    <xf numFmtId="0" fontId="9" fillId="12" borderId="14" xfId="3" applyFont="1" applyFill="1" applyBorder="1" applyAlignment="1">
      <alignment horizontal="center" vertical="center" wrapText="1"/>
    </xf>
    <xf numFmtId="0" fontId="9" fillId="12" borderId="0" xfId="3" applyFont="1" applyFill="1" applyAlignment="1">
      <alignment horizontal="center" vertical="center" wrapText="1"/>
    </xf>
    <xf numFmtId="0" fontId="9" fillId="12" borderId="15" xfId="3" applyFont="1" applyFill="1" applyBorder="1" applyAlignment="1">
      <alignment horizontal="center" vertical="center" wrapText="1"/>
    </xf>
    <xf numFmtId="0" fontId="9" fillId="12" borderId="16" xfId="3" applyFont="1" applyFill="1" applyBorder="1" applyAlignment="1">
      <alignment horizontal="center" vertical="center" wrapText="1"/>
    </xf>
    <xf numFmtId="0" fontId="7" fillId="7" borderId="17" xfId="3" applyFont="1" applyFill="1" applyBorder="1" applyAlignment="1">
      <alignment horizontal="center" vertical="center" wrapText="1"/>
    </xf>
    <xf numFmtId="0" fontId="7" fillId="7" borderId="18" xfId="3" applyFont="1" applyFill="1" applyBorder="1" applyAlignment="1">
      <alignment horizontal="center" vertical="center" wrapText="1"/>
    </xf>
    <xf numFmtId="0" fontId="7" fillId="13" borderId="12" xfId="3" applyFont="1" applyFill="1" applyBorder="1" applyAlignment="1">
      <alignment horizontal="center" vertical="center" wrapText="1"/>
    </xf>
    <xf numFmtId="0" fontId="7" fillId="13" borderId="13" xfId="3" applyFont="1" applyFill="1" applyBorder="1" applyAlignment="1">
      <alignment horizontal="center" vertical="center" wrapText="1"/>
    </xf>
  </cellXfs>
  <cellStyles count="5">
    <cellStyle name="Moneda" xfId="1" builtinId="4"/>
    <cellStyle name="Normal" xfId="0" builtinId="0"/>
    <cellStyle name="Normal 2" xfId="3" xr:uid="{1C481A53-FC70-467A-A60F-F24565B10B6E}"/>
    <cellStyle name="Porcentaje" xfId="2" builtinId="5"/>
    <cellStyle name="Porcentaje 2" xfId="4" xr:uid="{747FCC1C-C62B-4526-9523-5C23EDAF5C9A}"/>
  </cellStyles>
  <dxfs count="2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</border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</border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numFmt numFmtId="3" formatCode="#,##0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numFmt numFmtId="3" formatCode="#,##0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numFmt numFmtId="3" formatCode="#,##0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numFmt numFmtId="3" formatCode="#,##0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numFmt numFmtId="3" formatCode="#,##0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numFmt numFmtId="3" formatCode="#,##0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numFmt numFmtId="3" formatCode="#,##0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none"/>
      </font>
      <numFmt numFmtId="3" formatCode="#,##0"/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</border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&quot;$&quot;#,##0_);[Red]\(&quot;$&quot;#,##0\)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numFmt numFmtId="3" formatCode="#,##0"/>
    </dxf>
    <dxf>
      <numFmt numFmtId="3" formatCode="#,##0"/>
    </dxf>
    <dxf>
      <alignment vertical="center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OR-ELECTROCAQUETA</a:t>
            </a:r>
          </a:p>
        </c:rich>
      </c:tx>
      <c:layout>
        <c:manualLayout>
          <c:xMode val="edge"/>
          <c:yMode val="edge"/>
          <c:x val="0.47204574657399523"/>
          <c:y val="4.16667600810986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2435911553647129E-2"/>
          <c:y val="7.6417888849214341E-2"/>
          <c:w val="0.90373120729574474"/>
          <c:h val="0.75312380303765014"/>
        </c:manualLayout>
      </c:layout>
      <c:lineChart>
        <c:grouping val="standard"/>
        <c:varyColors val="0"/>
        <c:ser>
          <c:idx val="0"/>
          <c:order val="0"/>
          <c:tx>
            <c:strRef>
              <c:f>Gráficas_General!$F$7</c:f>
              <c:strCache>
                <c:ptCount val="1"/>
                <c:pt idx="0">
                  <c:v>Usuarios Acum. (Inicial)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1.6599457380729793E-2"/>
                  <c:y val="-2.06033671742288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6EE-4F04-BAF5-49118126613D}"/>
                </c:ext>
              </c:extLst>
            </c:dLbl>
            <c:dLbl>
              <c:idx val="13"/>
              <c:layout>
                <c:manualLayout>
                  <c:x val="-1.2449593035547397E-2"/>
                  <c:y val="2.26637038916514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6EE-4F04-BAF5-49118126613D}"/>
                </c:ext>
              </c:extLst>
            </c:dLbl>
            <c:dLbl>
              <c:idx val="34"/>
              <c:layout>
                <c:manualLayout>
                  <c:x val="-7.0707041463722612E-3"/>
                  <c:y val="-8.699896389029225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6EE-4F04-BAF5-4911812661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Gráficas_General!$C$7:$C$43</c15:sqref>
                  </c15:fullRef>
                </c:ext>
              </c:extLst>
              <c:f>(Gráficas_General!$C$7:$C$12,Gráficas_General!$C$14:$C$43)</c:f>
              <c:strCache>
                <c:ptCount val="36"/>
                <c:pt idx="0">
                  <c:v>Mes</c:v>
                </c:pt>
                <c:pt idx="1">
                  <c:v>5-abr</c:v>
                </c:pt>
                <c:pt idx="2">
                  <c:v>10-abr</c:v>
                </c:pt>
                <c:pt idx="3">
                  <c:v>15-abr</c:v>
                </c:pt>
                <c:pt idx="4">
                  <c:v>20-abr</c:v>
                </c:pt>
                <c:pt idx="5">
                  <c:v>25-abr</c:v>
                </c:pt>
                <c:pt idx="6">
                  <c:v>5-may</c:v>
                </c:pt>
                <c:pt idx="7">
                  <c:v>10-may</c:v>
                </c:pt>
                <c:pt idx="8">
                  <c:v>15-may</c:v>
                </c:pt>
                <c:pt idx="9">
                  <c:v>20-may</c:v>
                </c:pt>
                <c:pt idx="10">
                  <c:v>25-may</c:v>
                </c:pt>
                <c:pt idx="11">
                  <c:v>30-may</c:v>
                </c:pt>
                <c:pt idx="12">
                  <c:v>4-jun</c:v>
                </c:pt>
                <c:pt idx="13">
                  <c:v>9-jun</c:v>
                </c:pt>
                <c:pt idx="14">
                  <c:v>14-jun</c:v>
                </c:pt>
                <c:pt idx="15">
                  <c:v>19-jun</c:v>
                </c:pt>
                <c:pt idx="16">
                  <c:v>24-jun</c:v>
                </c:pt>
                <c:pt idx="17">
                  <c:v>29-jun</c:v>
                </c:pt>
                <c:pt idx="18">
                  <c:v>4-jul</c:v>
                </c:pt>
                <c:pt idx="19">
                  <c:v>9-jul</c:v>
                </c:pt>
                <c:pt idx="20">
                  <c:v>14-jul</c:v>
                </c:pt>
                <c:pt idx="21">
                  <c:v>19-jul</c:v>
                </c:pt>
                <c:pt idx="22">
                  <c:v>24-jul</c:v>
                </c:pt>
                <c:pt idx="23">
                  <c:v>29-jul</c:v>
                </c:pt>
                <c:pt idx="24">
                  <c:v>3-ago</c:v>
                </c:pt>
                <c:pt idx="25">
                  <c:v>8-ago</c:v>
                </c:pt>
                <c:pt idx="26">
                  <c:v>13-ago</c:v>
                </c:pt>
                <c:pt idx="27">
                  <c:v>18-ago</c:v>
                </c:pt>
                <c:pt idx="28">
                  <c:v>23-ago</c:v>
                </c:pt>
                <c:pt idx="29">
                  <c:v>28-ago</c:v>
                </c:pt>
                <c:pt idx="30">
                  <c:v>2-sep</c:v>
                </c:pt>
                <c:pt idx="31">
                  <c:v>7-sep</c:v>
                </c:pt>
                <c:pt idx="32">
                  <c:v>12-sep</c:v>
                </c:pt>
                <c:pt idx="33">
                  <c:v>17-sep</c:v>
                </c:pt>
                <c:pt idx="34">
                  <c:v>22-sep</c:v>
                </c:pt>
                <c:pt idx="35">
                  <c:v>27-sep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Gráficas_General!$F$8:$F$43</c15:sqref>
                  </c15:fullRef>
                </c:ext>
              </c:extLst>
              <c:f>(Gráficas_General!$F$8:$F$13,Gráficas_General!$F$15:$F$43)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250</c:v>
                </c:pt>
                <c:pt idx="12">
                  <c:v>385</c:v>
                </c:pt>
                <c:pt idx="13">
                  <c:v>645</c:v>
                </c:pt>
                <c:pt idx="14">
                  <c:v>900</c:v>
                </c:pt>
                <c:pt idx="15">
                  <c:v>1050</c:v>
                </c:pt>
                <c:pt idx="16">
                  <c:v>1160</c:v>
                </c:pt>
                <c:pt idx="17">
                  <c:v>1460</c:v>
                </c:pt>
                <c:pt idx="18">
                  <c:v>1923</c:v>
                </c:pt>
                <c:pt idx="19">
                  <c:v>2007</c:v>
                </c:pt>
                <c:pt idx="20">
                  <c:v>2270</c:v>
                </c:pt>
                <c:pt idx="21">
                  <c:v>2500</c:v>
                </c:pt>
                <c:pt idx="22">
                  <c:v>2745</c:v>
                </c:pt>
                <c:pt idx="23">
                  <c:v>3440</c:v>
                </c:pt>
                <c:pt idx="24">
                  <c:v>3995</c:v>
                </c:pt>
                <c:pt idx="25">
                  <c:v>4560</c:v>
                </c:pt>
                <c:pt idx="26">
                  <c:v>5430</c:v>
                </c:pt>
                <c:pt idx="27">
                  <c:v>5868</c:v>
                </c:pt>
                <c:pt idx="28">
                  <c:v>6306</c:v>
                </c:pt>
                <c:pt idx="29">
                  <c:v>6744</c:v>
                </c:pt>
                <c:pt idx="30">
                  <c:v>7182</c:v>
                </c:pt>
                <c:pt idx="31">
                  <c:v>7620</c:v>
                </c:pt>
                <c:pt idx="32">
                  <c:v>8058</c:v>
                </c:pt>
                <c:pt idx="33">
                  <c:v>8496</c:v>
                </c:pt>
                <c:pt idx="34">
                  <c:v>8785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EE-4F04-BAF5-49118126613D}"/>
            </c:ext>
          </c:extLst>
        </c:ser>
        <c:ser>
          <c:idx val="1"/>
          <c:order val="1"/>
          <c:tx>
            <c:strRef>
              <c:f>Gráficas_General!$G$7</c:f>
              <c:strCache>
                <c:ptCount val="1"/>
                <c:pt idx="0">
                  <c:v>Usuarios Acum. (Nueva)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2.1212112439116835E-2"/>
                  <c:y val="-3.04496373616022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6EE-4F04-BAF5-49118126613D}"/>
                </c:ext>
              </c:extLst>
            </c:dLbl>
            <c:dLbl>
              <c:idx val="13"/>
              <c:layout>
                <c:manualLayout>
                  <c:x val="-2.545453492694014E-2"/>
                  <c:y val="-4.34994819451461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6EE-4F04-BAF5-49118126613D}"/>
                </c:ext>
              </c:extLst>
            </c:dLbl>
            <c:dLbl>
              <c:idx val="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6EE-4F04-BAF5-4911812661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Gráficas_General!$C$7:$C$43</c15:sqref>
                  </c15:fullRef>
                </c:ext>
              </c:extLst>
              <c:f>(Gráficas_General!$C$7:$C$12,Gráficas_General!$C$14:$C$43)</c:f>
              <c:strCache>
                <c:ptCount val="36"/>
                <c:pt idx="0">
                  <c:v>Mes</c:v>
                </c:pt>
                <c:pt idx="1">
                  <c:v>5-abr</c:v>
                </c:pt>
                <c:pt idx="2">
                  <c:v>10-abr</c:v>
                </c:pt>
                <c:pt idx="3">
                  <c:v>15-abr</c:v>
                </c:pt>
                <c:pt idx="4">
                  <c:v>20-abr</c:v>
                </c:pt>
                <c:pt idx="5">
                  <c:v>25-abr</c:v>
                </c:pt>
                <c:pt idx="6">
                  <c:v>5-may</c:v>
                </c:pt>
                <c:pt idx="7">
                  <c:v>10-may</c:v>
                </c:pt>
                <c:pt idx="8">
                  <c:v>15-may</c:v>
                </c:pt>
                <c:pt idx="9">
                  <c:v>20-may</c:v>
                </c:pt>
                <c:pt idx="10">
                  <c:v>25-may</c:v>
                </c:pt>
                <c:pt idx="11">
                  <c:v>30-may</c:v>
                </c:pt>
                <c:pt idx="12">
                  <c:v>4-jun</c:v>
                </c:pt>
                <c:pt idx="13">
                  <c:v>9-jun</c:v>
                </c:pt>
                <c:pt idx="14">
                  <c:v>14-jun</c:v>
                </c:pt>
                <c:pt idx="15">
                  <c:v>19-jun</c:v>
                </c:pt>
                <c:pt idx="16">
                  <c:v>24-jun</c:v>
                </c:pt>
                <c:pt idx="17">
                  <c:v>29-jun</c:v>
                </c:pt>
                <c:pt idx="18">
                  <c:v>4-jul</c:v>
                </c:pt>
                <c:pt idx="19">
                  <c:v>9-jul</c:v>
                </c:pt>
                <c:pt idx="20">
                  <c:v>14-jul</c:v>
                </c:pt>
                <c:pt idx="21">
                  <c:v>19-jul</c:v>
                </c:pt>
                <c:pt idx="22">
                  <c:v>24-jul</c:v>
                </c:pt>
                <c:pt idx="23">
                  <c:v>29-jul</c:v>
                </c:pt>
                <c:pt idx="24">
                  <c:v>3-ago</c:v>
                </c:pt>
                <c:pt idx="25">
                  <c:v>8-ago</c:v>
                </c:pt>
                <c:pt idx="26">
                  <c:v>13-ago</c:v>
                </c:pt>
                <c:pt idx="27">
                  <c:v>18-ago</c:v>
                </c:pt>
                <c:pt idx="28">
                  <c:v>23-ago</c:v>
                </c:pt>
                <c:pt idx="29">
                  <c:v>28-ago</c:v>
                </c:pt>
                <c:pt idx="30">
                  <c:v>2-sep</c:v>
                </c:pt>
                <c:pt idx="31">
                  <c:v>7-sep</c:v>
                </c:pt>
                <c:pt idx="32">
                  <c:v>12-sep</c:v>
                </c:pt>
                <c:pt idx="33">
                  <c:v>17-sep</c:v>
                </c:pt>
                <c:pt idx="34">
                  <c:v>22-sep</c:v>
                </c:pt>
                <c:pt idx="35">
                  <c:v>27-sep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Gráficas_General!$G$8:$G$35</c15:sqref>
                  </c15:fullRef>
                </c:ext>
              </c:extLst>
              <c:f>(Gráficas_General!$G$8:$G$13,Gráficas_General!$G$15:$G$35)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385</c:v>
                </c:pt>
                <c:pt idx="7">
                  <c:v>645</c:v>
                </c:pt>
                <c:pt idx="8">
                  <c:v>900</c:v>
                </c:pt>
                <c:pt idx="9">
                  <c:v>1050</c:v>
                </c:pt>
                <c:pt idx="10">
                  <c:v>1160</c:v>
                </c:pt>
                <c:pt idx="11">
                  <c:v>1460</c:v>
                </c:pt>
                <c:pt idx="12">
                  <c:v>1923</c:v>
                </c:pt>
                <c:pt idx="13">
                  <c:v>2007</c:v>
                </c:pt>
                <c:pt idx="14">
                  <c:v>2270</c:v>
                </c:pt>
                <c:pt idx="15">
                  <c:v>2500</c:v>
                </c:pt>
                <c:pt idx="16">
                  <c:v>2745</c:v>
                </c:pt>
                <c:pt idx="17">
                  <c:v>3440</c:v>
                </c:pt>
                <c:pt idx="18">
                  <c:v>3995</c:v>
                </c:pt>
                <c:pt idx="19">
                  <c:v>4560</c:v>
                </c:pt>
                <c:pt idx="20">
                  <c:v>5430</c:v>
                </c:pt>
                <c:pt idx="21">
                  <c:v>5868</c:v>
                </c:pt>
                <c:pt idx="22">
                  <c:v>6306</c:v>
                </c:pt>
                <c:pt idx="23">
                  <c:v>6744</c:v>
                </c:pt>
                <c:pt idx="24">
                  <c:v>7182</c:v>
                </c:pt>
                <c:pt idx="25">
                  <c:v>7620</c:v>
                </c:pt>
                <c:pt idx="26">
                  <c:v>8785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EE-4F04-BAF5-49118126613D}"/>
            </c:ext>
          </c:extLst>
        </c:ser>
        <c:ser>
          <c:idx val="2"/>
          <c:order val="2"/>
          <c:tx>
            <c:strRef>
              <c:f>Gráficas_General!$M$7</c:f>
              <c:strCache>
                <c:ptCount val="1"/>
                <c:pt idx="0">
                  <c:v>Usuarios Ejcutado Acumulado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3.1830198260399623E-2"/>
                  <c:y val="-1.45573254868966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6EE-4F04-BAF5-49118126613D}"/>
                </c:ext>
              </c:extLst>
            </c:dLbl>
            <c:dLbl>
              <c:idx val="13"/>
              <c:layout>
                <c:manualLayout>
                  <c:x val="-1.8383830780567878E-2"/>
                  <c:y val="-1.52248186808013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6EE-4F04-BAF5-4911812661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Gráficas_General!$C$7:$C$43</c15:sqref>
                  </c15:fullRef>
                </c:ext>
              </c:extLst>
              <c:f>(Gráficas_General!$C$7:$C$12,Gráficas_General!$C$14:$C$43)</c:f>
              <c:strCache>
                <c:ptCount val="36"/>
                <c:pt idx="0">
                  <c:v>Mes</c:v>
                </c:pt>
                <c:pt idx="1">
                  <c:v>5-abr</c:v>
                </c:pt>
                <c:pt idx="2">
                  <c:v>10-abr</c:v>
                </c:pt>
                <c:pt idx="3">
                  <c:v>15-abr</c:v>
                </c:pt>
                <c:pt idx="4">
                  <c:v>20-abr</c:v>
                </c:pt>
                <c:pt idx="5">
                  <c:v>25-abr</c:v>
                </c:pt>
                <c:pt idx="6">
                  <c:v>5-may</c:v>
                </c:pt>
                <c:pt idx="7">
                  <c:v>10-may</c:v>
                </c:pt>
                <c:pt idx="8">
                  <c:v>15-may</c:v>
                </c:pt>
                <c:pt idx="9">
                  <c:v>20-may</c:v>
                </c:pt>
                <c:pt idx="10">
                  <c:v>25-may</c:v>
                </c:pt>
                <c:pt idx="11">
                  <c:v>30-may</c:v>
                </c:pt>
                <c:pt idx="12">
                  <c:v>4-jun</c:v>
                </c:pt>
                <c:pt idx="13">
                  <c:v>9-jun</c:v>
                </c:pt>
                <c:pt idx="14">
                  <c:v>14-jun</c:v>
                </c:pt>
                <c:pt idx="15">
                  <c:v>19-jun</c:v>
                </c:pt>
                <c:pt idx="16">
                  <c:v>24-jun</c:v>
                </c:pt>
                <c:pt idx="17">
                  <c:v>29-jun</c:v>
                </c:pt>
                <c:pt idx="18">
                  <c:v>4-jul</c:v>
                </c:pt>
                <c:pt idx="19">
                  <c:v>9-jul</c:v>
                </c:pt>
                <c:pt idx="20">
                  <c:v>14-jul</c:v>
                </c:pt>
                <c:pt idx="21">
                  <c:v>19-jul</c:v>
                </c:pt>
                <c:pt idx="22">
                  <c:v>24-jul</c:v>
                </c:pt>
                <c:pt idx="23">
                  <c:v>29-jul</c:v>
                </c:pt>
                <c:pt idx="24">
                  <c:v>3-ago</c:v>
                </c:pt>
                <c:pt idx="25">
                  <c:v>8-ago</c:v>
                </c:pt>
                <c:pt idx="26">
                  <c:v>13-ago</c:v>
                </c:pt>
                <c:pt idx="27">
                  <c:v>18-ago</c:v>
                </c:pt>
                <c:pt idx="28">
                  <c:v>23-ago</c:v>
                </c:pt>
                <c:pt idx="29">
                  <c:v>28-ago</c:v>
                </c:pt>
                <c:pt idx="30">
                  <c:v>2-sep</c:v>
                </c:pt>
                <c:pt idx="31">
                  <c:v>7-sep</c:v>
                </c:pt>
                <c:pt idx="32">
                  <c:v>12-sep</c:v>
                </c:pt>
                <c:pt idx="33">
                  <c:v>17-sep</c:v>
                </c:pt>
                <c:pt idx="34">
                  <c:v>22-sep</c:v>
                </c:pt>
                <c:pt idx="35">
                  <c:v>27-sep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Gráficas_General!$M$8:$M$22</c15:sqref>
                  </c15:fullRef>
                </c:ext>
              </c:extLst>
              <c:f>(Gráficas_General!$M$8:$M$13,Gráficas_General!$M$15:$M$22)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55</c:v>
                </c:pt>
                <c:pt idx="7">
                  <c:v>110</c:v>
                </c:pt>
                <c:pt idx="8">
                  <c:v>165</c:v>
                </c:pt>
                <c:pt idx="9">
                  <c:v>236</c:v>
                </c:pt>
                <c:pt idx="10">
                  <c:v>516</c:v>
                </c:pt>
                <c:pt idx="11">
                  <c:v>896</c:v>
                </c:pt>
                <c:pt idx="12">
                  <c:v>1166</c:v>
                </c:pt>
                <c:pt idx="13">
                  <c:v>1340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6EE-4F04-BAF5-491181266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79251199"/>
        <c:axId val="1184452271"/>
      </c:lineChart>
      <c:catAx>
        <c:axId val="279251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84452271"/>
        <c:crosses val="autoZero"/>
        <c:auto val="1"/>
        <c:lblAlgn val="ctr"/>
        <c:lblOffset val="100"/>
        <c:noMultiLvlLbl val="0"/>
      </c:catAx>
      <c:valAx>
        <c:axId val="11844522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USUARIOS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925119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DISPAC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2225" cap="rnd" cmpd="sng" algn="ctr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35"/>
              <c:layout>
                <c:manualLayout>
                  <c:x val="-7.3672075344296097E-3"/>
                  <c:y val="-3.26525007142261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54D-445E-97DE-68E0C5FEDE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Gráficas_General!$P$8:$P$43</c:f>
              <c:numCache>
                <c:formatCode>d\-mmm</c:formatCode>
                <c:ptCount val="36"/>
                <c:pt idx="0">
                  <c:v>46117</c:v>
                </c:pt>
                <c:pt idx="1">
                  <c:v>46122</c:v>
                </c:pt>
                <c:pt idx="2">
                  <c:v>46127</c:v>
                </c:pt>
                <c:pt idx="3">
                  <c:v>46132</c:v>
                </c:pt>
                <c:pt idx="4">
                  <c:v>46137</c:v>
                </c:pt>
                <c:pt idx="5">
                  <c:v>46142</c:v>
                </c:pt>
                <c:pt idx="6">
                  <c:v>46147</c:v>
                </c:pt>
                <c:pt idx="7">
                  <c:v>46152</c:v>
                </c:pt>
                <c:pt idx="8">
                  <c:v>46157</c:v>
                </c:pt>
                <c:pt idx="9">
                  <c:v>46162</c:v>
                </c:pt>
                <c:pt idx="10">
                  <c:v>46167</c:v>
                </c:pt>
                <c:pt idx="11">
                  <c:v>46172</c:v>
                </c:pt>
                <c:pt idx="12">
                  <c:v>46177</c:v>
                </c:pt>
                <c:pt idx="13">
                  <c:v>46182</c:v>
                </c:pt>
                <c:pt idx="14">
                  <c:v>46187</c:v>
                </c:pt>
                <c:pt idx="15">
                  <c:v>46192</c:v>
                </c:pt>
                <c:pt idx="16">
                  <c:v>46197</c:v>
                </c:pt>
                <c:pt idx="17">
                  <c:v>46202</c:v>
                </c:pt>
                <c:pt idx="18">
                  <c:v>46207</c:v>
                </c:pt>
                <c:pt idx="19">
                  <c:v>46212</c:v>
                </c:pt>
                <c:pt idx="20">
                  <c:v>46217</c:v>
                </c:pt>
                <c:pt idx="21">
                  <c:v>46222</c:v>
                </c:pt>
                <c:pt idx="22">
                  <c:v>46227</c:v>
                </c:pt>
                <c:pt idx="23">
                  <c:v>46232</c:v>
                </c:pt>
                <c:pt idx="24">
                  <c:v>46237</c:v>
                </c:pt>
                <c:pt idx="25">
                  <c:v>46242</c:v>
                </c:pt>
                <c:pt idx="26">
                  <c:v>46247</c:v>
                </c:pt>
                <c:pt idx="27">
                  <c:v>46252</c:v>
                </c:pt>
                <c:pt idx="28">
                  <c:v>46257</c:v>
                </c:pt>
                <c:pt idx="29">
                  <c:v>46262</c:v>
                </c:pt>
                <c:pt idx="30">
                  <c:v>46267</c:v>
                </c:pt>
                <c:pt idx="31">
                  <c:v>46272</c:v>
                </c:pt>
                <c:pt idx="32">
                  <c:v>46277</c:v>
                </c:pt>
                <c:pt idx="33">
                  <c:v>46282</c:v>
                </c:pt>
                <c:pt idx="34">
                  <c:v>46287</c:v>
                </c:pt>
                <c:pt idx="35">
                  <c:v>46292</c:v>
                </c:pt>
              </c:numCache>
            </c:numRef>
          </c:cat>
          <c:val>
            <c:numRef>
              <c:f>Gráficas_General!$S$8:$S$43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400</c:v>
                </c:pt>
                <c:pt idx="16">
                  <c:v>800</c:v>
                </c:pt>
                <c:pt idx="17">
                  <c:v>1200</c:v>
                </c:pt>
                <c:pt idx="18">
                  <c:v>1600</c:v>
                </c:pt>
                <c:pt idx="19">
                  <c:v>2000</c:v>
                </c:pt>
                <c:pt idx="20">
                  <c:v>2400</c:v>
                </c:pt>
                <c:pt idx="21">
                  <c:v>2800</c:v>
                </c:pt>
                <c:pt idx="22">
                  <c:v>3200</c:v>
                </c:pt>
                <c:pt idx="23">
                  <c:v>3600</c:v>
                </c:pt>
                <c:pt idx="24">
                  <c:v>4000</c:v>
                </c:pt>
                <c:pt idx="25">
                  <c:v>4400</c:v>
                </c:pt>
                <c:pt idx="26">
                  <c:v>4800</c:v>
                </c:pt>
                <c:pt idx="27">
                  <c:v>5200</c:v>
                </c:pt>
                <c:pt idx="28">
                  <c:v>5600</c:v>
                </c:pt>
                <c:pt idx="29">
                  <c:v>6000</c:v>
                </c:pt>
                <c:pt idx="30">
                  <c:v>6600</c:v>
                </c:pt>
                <c:pt idx="31">
                  <c:v>7400</c:v>
                </c:pt>
                <c:pt idx="32">
                  <c:v>8200</c:v>
                </c:pt>
                <c:pt idx="33">
                  <c:v>9000</c:v>
                </c:pt>
                <c:pt idx="34">
                  <c:v>9800</c:v>
                </c:pt>
                <c:pt idx="35">
                  <c:v>10664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6AE5-4F4F-8BA6-BFA21E2EB764}"/>
            </c:ext>
          </c:extLst>
        </c:ser>
        <c:ser>
          <c:idx val="2"/>
          <c:order val="1"/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1.1050811301644415E-2"/>
                  <c:y val="-5.57013247477976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54D-445E-97DE-68E0C5FEDE3E}"/>
                </c:ext>
              </c:extLst>
            </c:dLbl>
            <c:dLbl>
              <c:idx val="32"/>
              <c:layout>
                <c:manualLayout>
                  <c:x val="-2.4557358448098698E-2"/>
                  <c:y val="-2.68902947058333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54D-445E-97DE-68E0C5FEDE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Gráficas_General!$P$8:$P$43</c:f>
              <c:numCache>
                <c:formatCode>d\-mmm</c:formatCode>
                <c:ptCount val="36"/>
                <c:pt idx="0">
                  <c:v>46117</c:v>
                </c:pt>
                <c:pt idx="1">
                  <c:v>46122</c:v>
                </c:pt>
                <c:pt idx="2">
                  <c:v>46127</c:v>
                </c:pt>
                <c:pt idx="3">
                  <c:v>46132</c:v>
                </c:pt>
                <c:pt idx="4">
                  <c:v>46137</c:v>
                </c:pt>
                <c:pt idx="5">
                  <c:v>46142</c:v>
                </c:pt>
                <c:pt idx="6">
                  <c:v>46147</c:v>
                </c:pt>
                <c:pt idx="7">
                  <c:v>46152</c:v>
                </c:pt>
                <c:pt idx="8">
                  <c:v>46157</c:v>
                </c:pt>
                <c:pt idx="9">
                  <c:v>46162</c:v>
                </c:pt>
                <c:pt idx="10">
                  <c:v>46167</c:v>
                </c:pt>
                <c:pt idx="11">
                  <c:v>46172</c:v>
                </c:pt>
                <c:pt idx="12">
                  <c:v>46177</c:v>
                </c:pt>
                <c:pt idx="13">
                  <c:v>46182</c:v>
                </c:pt>
                <c:pt idx="14">
                  <c:v>46187</c:v>
                </c:pt>
                <c:pt idx="15">
                  <c:v>46192</c:v>
                </c:pt>
                <c:pt idx="16">
                  <c:v>46197</c:v>
                </c:pt>
                <c:pt idx="17">
                  <c:v>46202</c:v>
                </c:pt>
                <c:pt idx="18">
                  <c:v>46207</c:v>
                </c:pt>
                <c:pt idx="19">
                  <c:v>46212</c:v>
                </c:pt>
                <c:pt idx="20">
                  <c:v>46217</c:v>
                </c:pt>
                <c:pt idx="21">
                  <c:v>46222</c:v>
                </c:pt>
                <c:pt idx="22">
                  <c:v>46227</c:v>
                </c:pt>
                <c:pt idx="23">
                  <c:v>46232</c:v>
                </c:pt>
                <c:pt idx="24">
                  <c:v>46237</c:v>
                </c:pt>
                <c:pt idx="25">
                  <c:v>46242</c:v>
                </c:pt>
                <c:pt idx="26">
                  <c:v>46247</c:v>
                </c:pt>
                <c:pt idx="27">
                  <c:v>46252</c:v>
                </c:pt>
                <c:pt idx="28">
                  <c:v>46257</c:v>
                </c:pt>
                <c:pt idx="29">
                  <c:v>46262</c:v>
                </c:pt>
                <c:pt idx="30">
                  <c:v>46267</c:v>
                </c:pt>
                <c:pt idx="31">
                  <c:v>46272</c:v>
                </c:pt>
                <c:pt idx="32">
                  <c:v>46277</c:v>
                </c:pt>
                <c:pt idx="33">
                  <c:v>46282</c:v>
                </c:pt>
                <c:pt idx="34">
                  <c:v>46287</c:v>
                </c:pt>
                <c:pt idx="35">
                  <c:v>46292</c:v>
                </c:pt>
              </c:numCache>
            </c:numRef>
          </c:cat>
          <c:val>
            <c:numRef>
              <c:f>Gráficas_General!$T$8:$T$43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80</c:v>
                </c:pt>
                <c:pt idx="9">
                  <c:v>240</c:v>
                </c:pt>
                <c:pt idx="10">
                  <c:v>400</c:v>
                </c:pt>
                <c:pt idx="11">
                  <c:v>480</c:v>
                </c:pt>
                <c:pt idx="12">
                  <c:v>560</c:v>
                </c:pt>
                <c:pt idx="13">
                  <c:v>640</c:v>
                </c:pt>
                <c:pt idx="14">
                  <c:v>720</c:v>
                </c:pt>
                <c:pt idx="15">
                  <c:v>1020</c:v>
                </c:pt>
                <c:pt idx="16">
                  <c:v>1320</c:v>
                </c:pt>
                <c:pt idx="17">
                  <c:v>1620</c:v>
                </c:pt>
                <c:pt idx="18">
                  <c:v>1920</c:v>
                </c:pt>
                <c:pt idx="19">
                  <c:v>2220</c:v>
                </c:pt>
                <c:pt idx="20">
                  <c:v>2520</c:v>
                </c:pt>
                <c:pt idx="21">
                  <c:v>3020</c:v>
                </c:pt>
                <c:pt idx="22">
                  <c:v>3520</c:v>
                </c:pt>
                <c:pt idx="23">
                  <c:v>4220</c:v>
                </c:pt>
                <c:pt idx="24">
                  <c:v>4920</c:v>
                </c:pt>
                <c:pt idx="25">
                  <c:v>5620</c:v>
                </c:pt>
                <c:pt idx="26">
                  <c:v>6320</c:v>
                </c:pt>
                <c:pt idx="27">
                  <c:v>7020</c:v>
                </c:pt>
                <c:pt idx="28">
                  <c:v>7720</c:v>
                </c:pt>
                <c:pt idx="29">
                  <c:v>8420</c:v>
                </c:pt>
                <c:pt idx="30">
                  <c:v>9140</c:v>
                </c:pt>
                <c:pt idx="31">
                  <c:v>9840</c:v>
                </c:pt>
                <c:pt idx="32">
                  <c:v>10664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6AE5-4F4F-8BA6-BFA21E2EB764}"/>
            </c:ext>
          </c:extLst>
        </c:ser>
        <c:ser>
          <c:idx val="3"/>
          <c:order val="2"/>
          <c:spPr>
            <a:ln w="22225" cap="rnd" cmpd="sng" algn="ctr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54D-445E-97DE-68E0C5FEDE3E}"/>
                </c:ext>
              </c:extLst>
            </c:dLbl>
            <c:dLbl>
              <c:idx val="15"/>
              <c:layout>
                <c:manualLayout>
                  <c:x val="-2.8240962215313505E-2"/>
                  <c:y val="7.682941344523809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54D-445E-97DE-68E0C5FEDE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Gráficas_General!$P$8:$P$43</c:f>
              <c:numCache>
                <c:formatCode>d\-mmm</c:formatCode>
                <c:ptCount val="36"/>
                <c:pt idx="0">
                  <c:v>46117</c:v>
                </c:pt>
                <c:pt idx="1">
                  <c:v>46122</c:v>
                </c:pt>
                <c:pt idx="2">
                  <c:v>46127</c:v>
                </c:pt>
                <c:pt idx="3">
                  <c:v>46132</c:v>
                </c:pt>
                <c:pt idx="4">
                  <c:v>46137</c:v>
                </c:pt>
                <c:pt idx="5">
                  <c:v>46142</c:v>
                </c:pt>
                <c:pt idx="6">
                  <c:v>46147</c:v>
                </c:pt>
                <c:pt idx="7">
                  <c:v>46152</c:v>
                </c:pt>
                <c:pt idx="8">
                  <c:v>46157</c:v>
                </c:pt>
                <c:pt idx="9">
                  <c:v>46162</c:v>
                </c:pt>
                <c:pt idx="10">
                  <c:v>46167</c:v>
                </c:pt>
                <c:pt idx="11">
                  <c:v>46172</c:v>
                </c:pt>
                <c:pt idx="12">
                  <c:v>46177</c:v>
                </c:pt>
                <c:pt idx="13">
                  <c:v>46182</c:v>
                </c:pt>
                <c:pt idx="14">
                  <c:v>46187</c:v>
                </c:pt>
                <c:pt idx="15">
                  <c:v>46192</c:v>
                </c:pt>
                <c:pt idx="16">
                  <c:v>46197</c:v>
                </c:pt>
                <c:pt idx="17">
                  <c:v>46202</c:v>
                </c:pt>
                <c:pt idx="18">
                  <c:v>46207</c:v>
                </c:pt>
                <c:pt idx="19">
                  <c:v>46212</c:v>
                </c:pt>
                <c:pt idx="20">
                  <c:v>46217</c:v>
                </c:pt>
                <c:pt idx="21">
                  <c:v>46222</c:v>
                </c:pt>
                <c:pt idx="22">
                  <c:v>46227</c:v>
                </c:pt>
                <c:pt idx="23">
                  <c:v>46232</c:v>
                </c:pt>
                <c:pt idx="24">
                  <c:v>46237</c:v>
                </c:pt>
                <c:pt idx="25">
                  <c:v>46242</c:v>
                </c:pt>
                <c:pt idx="26">
                  <c:v>46247</c:v>
                </c:pt>
                <c:pt idx="27">
                  <c:v>46252</c:v>
                </c:pt>
                <c:pt idx="28">
                  <c:v>46257</c:v>
                </c:pt>
                <c:pt idx="29">
                  <c:v>46262</c:v>
                </c:pt>
                <c:pt idx="30">
                  <c:v>46267</c:v>
                </c:pt>
                <c:pt idx="31">
                  <c:v>46272</c:v>
                </c:pt>
                <c:pt idx="32">
                  <c:v>46277</c:v>
                </c:pt>
                <c:pt idx="33">
                  <c:v>46282</c:v>
                </c:pt>
                <c:pt idx="34">
                  <c:v>46287</c:v>
                </c:pt>
                <c:pt idx="35">
                  <c:v>46292</c:v>
                </c:pt>
              </c:numCache>
            </c:numRef>
          </c:cat>
          <c:val>
            <c:numRef>
              <c:f>Gráficas_General!$Z$8:$Z$23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80</c:v>
                </c:pt>
                <c:pt idx="10">
                  <c:v>240</c:v>
                </c:pt>
                <c:pt idx="11">
                  <c:v>400</c:v>
                </c:pt>
                <c:pt idx="12">
                  <c:v>480</c:v>
                </c:pt>
                <c:pt idx="13">
                  <c:v>560</c:v>
                </c:pt>
                <c:pt idx="14">
                  <c:v>640</c:v>
                </c:pt>
                <c:pt idx="15">
                  <c:v>720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6AE5-4F4F-8BA6-BFA21E2EB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47455679"/>
        <c:axId val="55122159"/>
      </c:lineChart>
      <c:dateAx>
        <c:axId val="47455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122159"/>
        <c:crosses val="autoZero"/>
        <c:auto val="1"/>
        <c:lblOffset val="100"/>
        <c:baseTimeUnit val="days"/>
      </c:dateAx>
      <c:valAx>
        <c:axId val="551221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USUARIOS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745567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GENSA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2225" cap="rnd" cmpd="sng" algn="ctr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65-406B-90D3-99807903A265}"/>
                </c:ext>
              </c:extLst>
            </c:dLbl>
            <c:dLbl>
              <c:idx val="35"/>
              <c:layout>
                <c:manualLayout>
                  <c:x val="-1.629768183350221E-2"/>
                  <c:y val="-5.02525658758198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E65-406B-90D3-99807903A2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Gráficas_General!$F$91:$F$126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220</c:v>
                </c:pt>
                <c:pt idx="17">
                  <c:v>440</c:v>
                </c:pt>
                <c:pt idx="18">
                  <c:v>660</c:v>
                </c:pt>
                <c:pt idx="19">
                  <c:v>880</c:v>
                </c:pt>
                <c:pt idx="20">
                  <c:v>1100</c:v>
                </c:pt>
                <c:pt idx="21">
                  <c:v>1320</c:v>
                </c:pt>
                <c:pt idx="22">
                  <c:v>1540</c:v>
                </c:pt>
                <c:pt idx="23">
                  <c:v>1760</c:v>
                </c:pt>
                <c:pt idx="24">
                  <c:v>1980</c:v>
                </c:pt>
                <c:pt idx="25">
                  <c:v>2200</c:v>
                </c:pt>
                <c:pt idx="26">
                  <c:v>2420</c:v>
                </c:pt>
                <c:pt idx="27">
                  <c:v>2640</c:v>
                </c:pt>
                <c:pt idx="28">
                  <c:v>2860</c:v>
                </c:pt>
                <c:pt idx="29">
                  <c:v>3080</c:v>
                </c:pt>
                <c:pt idx="30">
                  <c:v>3300</c:v>
                </c:pt>
                <c:pt idx="31">
                  <c:v>3520</c:v>
                </c:pt>
                <c:pt idx="32">
                  <c:v>3800</c:v>
                </c:pt>
                <c:pt idx="33">
                  <c:v>4080</c:v>
                </c:pt>
                <c:pt idx="34">
                  <c:v>4400</c:v>
                </c:pt>
                <c:pt idx="35">
                  <c:v>4764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FA19-410C-BF3F-9307255A3194}"/>
            </c:ext>
          </c:extLst>
        </c:ser>
        <c:ser>
          <c:idx val="2"/>
          <c:order val="1"/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31"/>
              <c:layout>
                <c:manualLayout>
                  <c:x val="-3.2595363667004246E-2"/>
                  <c:y val="-3.2924094884157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E65-406B-90D3-99807903A2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Gráficas_General!$G$91:$G$122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255</c:v>
                </c:pt>
                <c:pt idx="15">
                  <c:v>405</c:v>
                </c:pt>
                <c:pt idx="16">
                  <c:v>775</c:v>
                </c:pt>
                <c:pt idx="17">
                  <c:v>1100</c:v>
                </c:pt>
                <c:pt idx="18">
                  <c:v>1220</c:v>
                </c:pt>
                <c:pt idx="19">
                  <c:v>1282</c:v>
                </c:pt>
                <c:pt idx="20">
                  <c:v>1550</c:v>
                </c:pt>
                <c:pt idx="21">
                  <c:v>1860</c:v>
                </c:pt>
                <c:pt idx="22">
                  <c:v>1985</c:v>
                </c:pt>
                <c:pt idx="23">
                  <c:v>2010</c:v>
                </c:pt>
                <c:pt idx="24">
                  <c:v>2230</c:v>
                </c:pt>
                <c:pt idx="25">
                  <c:v>2300</c:v>
                </c:pt>
                <c:pt idx="26">
                  <c:v>2400</c:v>
                </c:pt>
                <c:pt idx="27">
                  <c:v>2795</c:v>
                </c:pt>
                <c:pt idx="28">
                  <c:v>3540</c:v>
                </c:pt>
                <c:pt idx="29">
                  <c:v>3615</c:v>
                </c:pt>
                <c:pt idx="30">
                  <c:v>3735</c:v>
                </c:pt>
                <c:pt idx="31">
                  <c:v>4764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FA19-410C-BF3F-9307255A3194}"/>
            </c:ext>
          </c:extLst>
        </c:ser>
        <c:ser>
          <c:idx val="3"/>
          <c:order val="2"/>
          <c:spPr>
            <a:ln w="22225" cap="rnd" cmpd="sng" algn="ctr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Gráficas_General!$M$91:$M$105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FA19-410C-BF3F-9307255A3194}"/>
            </c:ext>
          </c:extLst>
        </c:ser>
        <c:ser>
          <c:idx val="0"/>
          <c:order val="3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1E65-406B-90D3-99807903A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596849648"/>
        <c:axId val="55178319"/>
      </c:lineChart>
      <c:catAx>
        <c:axId val="596849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5178319"/>
        <c:crosses val="autoZero"/>
        <c:auto val="1"/>
        <c:lblAlgn val="ctr"/>
        <c:lblOffset val="100"/>
        <c:noMultiLvlLbl val="0"/>
      </c:catAx>
      <c:valAx>
        <c:axId val="551783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USUARIOS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684964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GECELCA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2225" cap="rnd" cmpd="sng" algn="ctr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35"/>
              <c:layout>
                <c:manualLayout>
                  <c:x val="-1.8119837553312375E-2"/>
                  <c:y val="-2.39266869088052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7F4-4B75-862A-5FFDE92F89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Gráficas_General!$T$91:$T$126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120</c:v>
                </c:pt>
                <c:pt idx="22">
                  <c:v>240</c:v>
                </c:pt>
                <c:pt idx="23">
                  <c:v>360</c:v>
                </c:pt>
                <c:pt idx="24">
                  <c:v>480</c:v>
                </c:pt>
                <c:pt idx="25">
                  <c:v>600</c:v>
                </c:pt>
                <c:pt idx="26">
                  <c:v>720</c:v>
                </c:pt>
                <c:pt idx="27">
                  <c:v>840</c:v>
                </c:pt>
                <c:pt idx="28">
                  <c:v>960</c:v>
                </c:pt>
                <c:pt idx="29">
                  <c:v>1080</c:v>
                </c:pt>
                <c:pt idx="30">
                  <c:v>1200</c:v>
                </c:pt>
                <c:pt idx="31">
                  <c:v>1320</c:v>
                </c:pt>
                <c:pt idx="32">
                  <c:v>1600</c:v>
                </c:pt>
                <c:pt idx="33">
                  <c:v>1880</c:v>
                </c:pt>
                <c:pt idx="34">
                  <c:v>2160</c:v>
                </c:pt>
                <c:pt idx="35">
                  <c:v>2500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A7F4-4B75-862A-5FFDE92F89E7}"/>
            </c:ext>
          </c:extLst>
        </c:ser>
        <c:ser>
          <c:idx val="2"/>
          <c:order val="1"/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4"/>
              <c:layout>
                <c:manualLayout>
                  <c:x val="-2.976830455187033E-2"/>
                  <c:y val="-2.73447850386346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7F4-4B75-862A-5FFDE92F89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Gráficas_General!$U$91:$U$115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100</c:v>
                </c:pt>
                <c:pt idx="11">
                  <c:v>512</c:v>
                </c:pt>
                <c:pt idx="12">
                  <c:v>572</c:v>
                </c:pt>
                <c:pt idx="13">
                  <c:v>632</c:v>
                </c:pt>
                <c:pt idx="14">
                  <c:v>692</c:v>
                </c:pt>
                <c:pt idx="15">
                  <c:v>812</c:v>
                </c:pt>
                <c:pt idx="16">
                  <c:v>932</c:v>
                </c:pt>
                <c:pt idx="17">
                  <c:v>1052</c:v>
                </c:pt>
                <c:pt idx="18">
                  <c:v>1200</c:v>
                </c:pt>
                <c:pt idx="19">
                  <c:v>1420</c:v>
                </c:pt>
                <c:pt idx="20">
                  <c:v>1720</c:v>
                </c:pt>
                <c:pt idx="21">
                  <c:v>1920</c:v>
                </c:pt>
                <c:pt idx="22">
                  <c:v>2120</c:v>
                </c:pt>
                <c:pt idx="23">
                  <c:v>2320</c:v>
                </c:pt>
                <c:pt idx="24">
                  <c:v>2500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A7F4-4B75-862A-5FFDE92F89E7}"/>
            </c:ext>
          </c:extLst>
        </c:ser>
        <c:ser>
          <c:idx val="3"/>
          <c:order val="2"/>
          <c:spPr>
            <a:ln w="22225" cap="rnd" cmpd="sng" algn="ctr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2.5885482219017725E-2"/>
                  <c:y val="-5.29805210123545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F4-4B75-862A-5FFDE92F89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Gráficas_General!$AA$91:$AA$102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</c:v>
                </c:pt>
                <c:pt idx="11">
                  <c:v>500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A7F4-4B75-862A-5FFDE92F89E7}"/>
            </c:ext>
          </c:extLst>
        </c:ser>
        <c:ser>
          <c:idx val="0"/>
          <c:order val="3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7-A7F4-4B75-862A-5FFDE92F8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472947264"/>
        <c:axId val="938340624"/>
      </c:lineChart>
      <c:catAx>
        <c:axId val="472947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38340624"/>
        <c:crosses val="autoZero"/>
        <c:auto val="1"/>
        <c:lblAlgn val="ctr"/>
        <c:lblOffset val="100"/>
        <c:noMultiLvlLbl val="0"/>
      </c:catAx>
      <c:valAx>
        <c:axId val="9383406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USUARIOS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7294726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GENERAL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2225" cap="rnd" cmpd="sng" algn="ctr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8D1-434C-A6E9-17B794217B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Gráficas_General!$F$178:$F$213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250</c:v>
                </c:pt>
                <c:pt idx="13">
                  <c:v>385</c:v>
                </c:pt>
                <c:pt idx="14">
                  <c:v>645</c:v>
                </c:pt>
                <c:pt idx="15">
                  <c:v>1300</c:v>
                </c:pt>
                <c:pt idx="16">
                  <c:v>2070</c:v>
                </c:pt>
                <c:pt idx="17">
                  <c:v>2800</c:v>
                </c:pt>
                <c:pt idx="18">
                  <c:v>3720</c:v>
                </c:pt>
                <c:pt idx="19">
                  <c:v>4803</c:v>
                </c:pt>
                <c:pt idx="20">
                  <c:v>5507</c:v>
                </c:pt>
                <c:pt idx="21">
                  <c:v>6510</c:v>
                </c:pt>
                <c:pt idx="22">
                  <c:v>7480</c:v>
                </c:pt>
                <c:pt idx="23">
                  <c:v>8465</c:v>
                </c:pt>
                <c:pt idx="24">
                  <c:v>9900</c:v>
                </c:pt>
                <c:pt idx="25">
                  <c:v>11195</c:v>
                </c:pt>
                <c:pt idx="26">
                  <c:v>12500</c:v>
                </c:pt>
                <c:pt idx="27">
                  <c:v>14110</c:v>
                </c:pt>
                <c:pt idx="28">
                  <c:v>15288</c:v>
                </c:pt>
                <c:pt idx="29">
                  <c:v>16466</c:v>
                </c:pt>
                <c:pt idx="30">
                  <c:v>17844</c:v>
                </c:pt>
                <c:pt idx="31">
                  <c:v>19422</c:v>
                </c:pt>
                <c:pt idx="32">
                  <c:v>21220</c:v>
                </c:pt>
                <c:pt idx="33">
                  <c:v>23018</c:v>
                </c:pt>
                <c:pt idx="34">
                  <c:v>24856</c:v>
                </c:pt>
                <c:pt idx="35">
                  <c:v>26713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98D1-434C-A6E9-17B794217BB4}"/>
            </c:ext>
          </c:extLst>
        </c:ser>
        <c:ser>
          <c:idx val="2"/>
          <c:order val="1"/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2.3192007267315958E-2"/>
                  <c:y val="-2.53434840306117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8D1-434C-A6E9-17B794217BB4}"/>
                </c:ext>
              </c:extLst>
            </c:dLbl>
            <c:dLbl>
              <c:idx val="14"/>
              <c:layout>
                <c:manualLayout>
                  <c:x val="-3.0149609447510689E-2"/>
                  <c:y val="4.27671293016573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8D1-434C-A6E9-17B794217BB4}"/>
                </c:ext>
              </c:extLst>
            </c:dLbl>
            <c:dLbl>
              <c:idx val="22"/>
              <c:layout>
                <c:manualLayout>
                  <c:x val="-4.4064813807900241E-2"/>
                  <c:y val="-4.75190325573970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8D1-434C-A6E9-17B794217BB4}"/>
                </c:ext>
              </c:extLst>
            </c:dLbl>
            <c:dLbl>
              <c:idx val="32"/>
              <c:layout>
                <c:manualLayout>
                  <c:x val="-3.0149609447510859E-2"/>
                  <c:y val="-2.85114195344382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8D1-434C-A6E9-17B794217BB4}"/>
                </c:ext>
              </c:extLst>
            </c:dLbl>
            <c:dLbl>
              <c:idx val="33"/>
              <c:layout>
                <c:manualLayout>
                  <c:x val="-2.5511207994047505E-2"/>
                  <c:y val="-1.90076130229588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8D1-434C-A6E9-17B794217B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Gráficas_General!$G$178:$G$213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385</c:v>
                </c:pt>
                <c:pt idx="8">
                  <c:v>725</c:v>
                </c:pt>
                <c:pt idx="9">
                  <c:v>1140</c:v>
                </c:pt>
                <c:pt idx="10">
                  <c:v>1550</c:v>
                </c:pt>
                <c:pt idx="11">
                  <c:v>2152</c:v>
                </c:pt>
                <c:pt idx="12">
                  <c:v>2592</c:v>
                </c:pt>
                <c:pt idx="13">
                  <c:v>3195</c:v>
                </c:pt>
                <c:pt idx="14">
                  <c:v>3674</c:v>
                </c:pt>
                <c:pt idx="15">
                  <c:v>4507</c:v>
                </c:pt>
                <c:pt idx="16">
                  <c:v>5527</c:v>
                </c:pt>
                <c:pt idx="17">
                  <c:v>6517</c:v>
                </c:pt>
                <c:pt idx="18">
                  <c:v>7780</c:v>
                </c:pt>
                <c:pt idx="19">
                  <c:v>8917</c:v>
                </c:pt>
                <c:pt idx="20">
                  <c:v>10350</c:v>
                </c:pt>
                <c:pt idx="21">
                  <c:v>12230</c:v>
                </c:pt>
                <c:pt idx="22">
                  <c:v>13493</c:v>
                </c:pt>
                <c:pt idx="23">
                  <c:v>14856</c:v>
                </c:pt>
                <c:pt idx="24">
                  <c:v>16394</c:v>
                </c:pt>
                <c:pt idx="25">
                  <c:v>17602</c:v>
                </c:pt>
                <c:pt idx="26">
                  <c:v>18840</c:v>
                </c:pt>
                <c:pt idx="27">
                  <c:v>21100</c:v>
                </c:pt>
                <c:pt idx="28">
                  <c:v>22545</c:v>
                </c:pt>
                <c:pt idx="29">
                  <c:v>23320</c:v>
                </c:pt>
                <c:pt idx="30">
                  <c:v>24160</c:v>
                </c:pt>
                <c:pt idx="31">
                  <c:v>25889</c:v>
                </c:pt>
                <c:pt idx="32">
                  <c:v>26713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98D1-434C-A6E9-17B794217BB4}"/>
            </c:ext>
          </c:extLst>
        </c:ser>
        <c:ser>
          <c:idx val="3"/>
          <c:order val="2"/>
          <c:spPr>
            <a:ln w="22225" cap="rnd" cmpd="sng" algn="ctr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8D1-434C-A6E9-17B794217BB4}"/>
                </c:ext>
              </c:extLst>
            </c:dLbl>
            <c:dLbl>
              <c:idx val="14"/>
              <c:layout>
                <c:manualLayout>
                  <c:x val="-5.3341616714826602E-2"/>
                  <c:y val="-3.00953872863514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8D1-434C-A6E9-17B794217B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Gráficas_General!$M$178:$M$192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110</c:v>
                </c:pt>
                <c:pt idx="8">
                  <c:v>220</c:v>
                </c:pt>
                <c:pt idx="9">
                  <c:v>410</c:v>
                </c:pt>
                <c:pt idx="10">
                  <c:v>732</c:v>
                </c:pt>
                <c:pt idx="11">
                  <c:v>1932</c:v>
                </c:pt>
                <c:pt idx="12">
                  <c:v>2772</c:v>
                </c:pt>
                <c:pt idx="13">
                  <c:v>3392</c:v>
                </c:pt>
                <c:pt idx="14">
                  <c:v>3820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98D1-434C-A6E9-17B794217BB4}"/>
            </c:ext>
          </c:extLst>
        </c:ser>
        <c:ser>
          <c:idx val="0"/>
          <c:order val="3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0-98D1-434C-A6E9-17B794217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146667520"/>
        <c:axId val="923090288"/>
      </c:lineChart>
      <c:catAx>
        <c:axId val="114666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FECHA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23090288"/>
        <c:crosses val="autoZero"/>
        <c:auto val="1"/>
        <c:lblAlgn val="ctr"/>
        <c:lblOffset val="100"/>
        <c:noMultiLvlLbl val="0"/>
      </c:catAx>
      <c:valAx>
        <c:axId val="9230902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USUARIOS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666752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CURVA S USUARIOS PLANEADOS VS EJECUTADOS</a:t>
            </a:r>
          </a:p>
        </c:rich>
      </c:tx>
      <c:layout>
        <c:manualLayout>
          <c:xMode val="edge"/>
          <c:yMode val="edge"/>
          <c:x val="0.38525806562280923"/>
          <c:y val="1.8177680384851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'Curva S_GECELCA'!$B$7</c:f>
              <c:strCache>
                <c:ptCount val="1"/>
                <c:pt idx="0">
                  <c:v>Usuarios Planeados Acumulados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'Curva S_GECELCA'!$A$8:$A$27</c:f>
              <c:numCache>
                <c:formatCode>dd/mm/yyyy</c:formatCode>
                <c:ptCount val="20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</c:numCache>
            </c:numRef>
          </c:cat>
          <c:val>
            <c:numRef>
              <c:f>'Curva S_GECELCA'!$B$8:$B$27</c:f>
              <c:numCache>
                <c:formatCode>0</c:formatCode>
                <c:ptCount val="20"/>
                <c:pt idx="0">
                  <c:v>0</c:v>
                </c:pt>
                <c:pt idx="1">
                  <c:v>62</c:v>
                </c:pt>
                <c:pt idx="2">
                  <c:v>84</c:v>
                </c:pt>
                <c:pt idx="3">
                  <c:v>108</c:v>
                </c:pt>
                <c:pt idx="4">
                  <c:v>134</c:v>
                </c:pt>
                <c:pt idx="5">
                  <c:v>162</c:v>
                </c:pt>
                <c:pt idx="6">
                  <c:v>192</c:v>
                </c:pt>
                <c:pt idx="7">
                  <c:v>222</c:v>
                </c:pt>
                <c:pt idx="8">
                  <c:v>252</c:v>
                </c:pt>
                <c:pt idx="9">
                  <c:v>284</c:v>
                </c:pt>
                <c:pt idx="10">
                  <c:v>316</c:v>
                </c:pt>
                <c:pt idx="11">
                  <c:v>348</c:v>
                </c:pt>
                <c:pt idx="12">
                  <c:v>380</c:v>
                </c:pt>
                <c:pt idx="13">
                  <c:v>412</c:v>
                </c:pt>
                <c:pt idx="14">
                  <c:v>442</c:v>
                </c:pt>
                <c:pt idx="15">
                  <c:v>458</c:v>
                </c:pt>
                <c:pt idx="16">
                  <c:v>474</c:v>
                </c:pt>
                <c:pt idx="17">
                  <c:v>490</c:v>
                </c:pt>
                <c:pt idx="18">
                  <c:v>506</c:v>
                </c:pt>
                <c:pt idx="19">
                  <c:v>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C1-45E2-ACDD-EA9B3C6F9390}"/>
            </c:ext>
          </c:extLst>
        </c:ser>
        <c:ser>
          <c:idx val="2"/>
          <c:order val="2"/>
          <c:tx>
            <c:strRef>
              <c:f>'Curva S_GECELCA'!$D$7</c:f>
              <c:strCache>
                <c:ptCount val="1"/>
                <c:pt idx="0">
                  <c:v>Usuarios Ejecutados Acumulados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'Curva S_GECELCA'!$A$8:$A$27</c:f>
              <c:numCache>
                <c:formatCode>dd/mm/yyyy</c:formatCode>
                <c:ptCount val="20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</c:numCache>
            </c:numRef>
          </c:cat>
          <c:val>
            <c:numRef>
              <c:f>'Curva S_GECELCA'!$D$8:$D$27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10</c:v>
                </c:pt>
                <c:pt idx="5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C1-45E2-ACDD-EA9B3C6F9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8042800"/>
        <c:axId val="3780408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'Curva S_GECELCA'!$C$7</c15:sqref>
                        </c15:formulaRef>
                      </c:ext>
                    </c:extLst>
                    <c:strCache>
                      <c:ptCount val="1"/>
                      <c:pt idx="0">
                        <c:v>Usuarios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'Curva S_GECELCA'!$A$8:$A$27</c15:sqref>
                        </c15:formulaRef>
                      </c:ext>
                    </c:extLst>
                    <c:numCache>
                      <c:formatCode>dd/mm/yyyy</c:formatCode>
                      <c:ptCount val="20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'Curva S_GECELCA'!$C$8:$C$27</c15:sqref>
                        </c15:formulaRef>
                      </c:ext>
                    </c:extLst>
                    <c:numCache>
                      <c:formatCode>0</c:formatCode>
                      <c:ptCount val="20"/>
                      <c:pt idx="0">
                        <c:v>0</c:v>
                      </c:pt>
                      <c:pt idx="1">
                        <c:v>62</c:v>
                      </c:pt>
                      <c:pt idx="2">
                        <c:v>22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28</c:v>
                      </c:pt>
                      <c:pt idx="6">
                        <c:v>30</c:v>
                      </c:pt>
                      <c:pt idx="7">
                        <c:v>30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32</c:v>
                      </c:pt>
                      <c:pt idx="11">
                        <c:v>32</c:v>
                      </c:pt>
                      <c:pt idx="12">
                        <c:v>32</c:v>
                      </c:pt>
                      <c:pt idx="13">
                        <c:v>32</c:v>
                      </c:pt>
                      <c:pt idx="14">
                        <c:v>30</c:v>
                      </c:pt>
                      <c:pt idx="15">
                        <c:v>16</c:v>
                      </c:pt>
                      <c:pt idx="16">
                        <c:v>16</c:v>
                      </c:pt>
                      <c:pt idx="17">
                        <c:v>16</c:v>
                      </c:pt>
                      <c:pt idx="18">
                        <c:v>16</c:v>
                      </c:pt>
                      <c:pt idx="19">
                        <c:v>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EC1-45E2-ACDD-EA9B3C6F939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S_GECELCA'!$E$7</c15:sqref>
                        </c15:formulaRef>
                      </c:ext>
                    </c:extLst>
                    <c:strCache>
                      <c:ptCount val="1"/>
                      <c:pt idx="0">
                        <c:v>Usuarios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S_GECELCA'!$A$8:$A$27</c15:sqref>
                        </c15:formulaRef>
                      </c:ext>
                    </c:extLst>
                    <c:numCache>
                      <c:formatCode>dd/mm/yyyy</c:formatCode>
                      <c:ptCount val="20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S_GECELCA'!$E$8:$E$27</c15:sqref>
                        </c15:formulaRef>
                      </c:ext>
                    </c:extLst>
                    <c:numCache>
                      <c:formatCode>0</c:formatCode>
                      <c:ptCount val="20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EC1-45E2-ACDD-EA9B3C6F9390}"/>
                  </c:ext>
                </c:extLst>
              </c15:ser>
            </c15:filteredLineSeries>
          </c:ext>
        </c:extLst>
      </c:lineChart>
      <c:dateAx>
        <c:axId val="378042800"/>
        <c:scaling>
          <c:orientation val="minMax"/>
        </c:scaling>
        <c:delete val="0"/>
        <c:axPos val="b"/>
        <c:numFmt formatCode="dd/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8040880"/>
        <c:crosses val="autoZero"/>
        <c:auto val="1"/>
        <c:lblOffset val="100"/>
        <c:baseTimeUnit val="days"/>
      </c:dateAx>
      <c:valAx>
        <c:axId val="37804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USUARIOS</a:t>
                </a:r>
              </a:p>
            </c:rich>
          </c:tx>
          <c:layout>
            <c:manualLayout>
              <c:xMode val="edge"/>
              <c:yMode val="edge"/>
              <c:x val="0.10361108122463004"/>
              <c:y val="0.357696243804202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80428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PROYECTO BECERRIL</a:t>
            </a:r>
          </a:p>
          <a:p>
            <a:pPr>
              <a:defRPr b="1"/>
            </a:pPr>
            <a:r>
              <a:rPr lang="es-CO" b="1"/>
              <a:t>CURVA S USUARIOS PLANEADOS VS EJECUTADOS</a:t>
            </a:r>
          </a:p>
        </c:rich>
      </c:tx>
      <c:layout>
        <c:manualLayout>
          <c:xMode val="edge"/>
          <c:yMode val="edge"/>
          <c:x val="0.29561432062392951"/>
          <c:y val="1.02214695235340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'Curva S_Becerril'!$B$7</c:f>
              <c:strCache>
                <c:ptCount val="1"/>
                <c:pt idx="0">
                  <c:v>Usuarios Planeados Acumulados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'Curva S_Becerril'!$A$8:$A$27</c:f>
              <c:numCache>
                <c:formatCode>d\-mmm</c:formatCode>
                <c:ptCount val="20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</c:numCache>
            </c:numRef>
          </c:cat>
          <c:val>
            <c:numRef>
              <c:f>'Curva S_Becerril'!$B$8:$B$27</c:f>
              <c:numCache>
                <c:formatCode>0</c:formatCode>
                <c:ptCount val="20"/>
                <c:pt idx="0">
                  <c:v>0</c:v>
                </c:pt>
                <c:pt idx="1">
                  <c:v>8</c:v>
                </c:pt>
                <c:pt idx="2">
                  <c:v>20</c:v>
                </c:pt>
                <c:pt idx="3">
                  <c:v>33</c:v>
                </c:pt>
                <c:pt idx="4">
                  <c:v>45</c:v>
                </c:pt>
                <c:pt idx="5">
                  <c:v>59</c:v>
                </c:pt>
                <c:pt idx="6">
                  <c:v>74</c:v>
                </c:pt>
                <c:pt idx="7">
                  <c:v>86</c:v>
                </c:pt>
                <c:pt idx="8">
                  <c:v>98</c:v>
                </c:pt>
                <c:pt idx="9">
                  <c:v>110</c:v>
                </c:pt>
                <c:pt idx="10">
                  <c:v>118</c:v>
                </c:pt>
                <c:pt idx="11">
                  <c:v>127</c:v>
                </c:pt>
                <c:pt idx="12">
                  <c:v>139</c:v>
                </c:pt>
                <c:pt idx="13">
                  <c:v>145</c:v>
                </c:pt>
                <c:pt idx="14">
                  <c:v>151</c:v>
                </c:pt>
                <c:pt idx="15">
                  <c:v>161</c:v>
                </c:pt>
                <c:pt idx="16">
                  <c:v>173</c:v>
                </c:pt>
                <c:pt idx="17">
                  <c:v>181</c:v>
                </c:pt>
                <c:pt idx="18">
                  <c:v>190</c:v>
                </c:pt>
                <c:pt idx="19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F7-459B-A65D-4A447BD6F4C3}"/>
            </c:ext>
          </c:extLst>
        </c:ser>
        <c:ser>
          <c:idx val="2"/>
          <c:order val="2"/>
          <c:tx>
            <c:strRef>
              <c:f>'Curva S_Becerril'!$D$7</c:f>
              <c:strCache>
                <c:ptCount val="1"/>
                <c:pt idx="0">
                  <c:v>Usuarios Ejecutados Acumulados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'Curva S_Becerril'!$A$8:$A$27</c:f>
              <c:numCache>
                <c:formatCode>d\-mmm</c:formatCode>
                <c:ptCount val="20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</c:numCache>
            </c:numRef>
          </c:cat>
          <c:val>
            <c:numRef>
              <c:f>'Curva S_Becerril'!$D$8:$D$27</c:f>
              <c:numCache>
                <c:formatCode>0</c:formatCode>
                <c:ptCount val="20"/>
                <c:pt idx="0">
                  <c:v>0</c:v>
                </c:pt>
                <c:pt idx="1">
                  <c:v>4</c:v>
                </c:pt>
                <c:pt idx="2">
                  <c:v>12</c:v>
                </c:pt>
                <c:pt idx="3">
                  <c:v>23</c:v>
                </c:pt>
                <c:pt idx="4">
                  <c:v>46</c:v>
                </c:pt>
                <c:pt idx="5">
                  <c:v>68</c:v>
                </c:pt>
                <c:pt idx="6">
                  <c:v>103</c:v>
                </c:pt>
                <c:pt idx="7">
                  <c:v>137</c:v>
                </c:pt>
                <c:pt idx="8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F7-459B-A65D-4A447BD6F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8042800"/>
        <c:axId val="3780408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'Curva S_Becerril'!$C$7</c15:sqref>
                        </c15:formulaRef>
                      </c:ext>
                    </c:extLst>
                    <c:strCache>
                      <c:ptCount val="1"/>
                      <c:pt idx="0">
                        <c:v>Usuarios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'Curva S_Becerril'!$A$8:$A$27</c15:sqref>
                        </c15:formulaRef>
                      </c:ext>
                    </c:extLst>
                    <c:numCache>
                      <c:formatCode>d\-mmm</c:formatCode>
                      <c:ptCount val="20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'Curva S_Becerril'!$C$8:$C$27</c15:sqref>
                        </c15:formulaRef>
                      </c:ext>
                    </c:extLst>
                    <c:numCache>
                      <c:formatCode>0</c:formatCode>
                      <c:ptCount val="20"/>
                      <c:pt idx="0">
                        <c:v>0</c:v>
                      </c:pt>
                      <c:pt idx="1">
                        <c:v>8</c:v>
                      </c:pt>
                      <c:pt idx="2">
                        <c:v>12</c:v>
                      </c:pt>
                      <c:pt idx="3">
                        <c:v>13</c:v>
                      </c:pt>
                      <c:pt idx="4">
                        <c:v>12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12</c:v>
                      </c:pt>
                      <c:pt idx="8">
                        <c:v>12</c:v>
                      </c:pt>
                      <c:pt idx="9">
                        <c:v>12</c:v>
                      </c:pt>
                      <c:pt idx="10">
                        <c:v>8</c:v>
                      </c:pt>
                      <c:pt idx="11">
                        <c:v>9</c:v>
                      </c:pt>
                      <c:pt idx="12">
                        <c:v>12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10</c:v>
                      </c:pt>
                      <c:pt idx="16">
                        <c:v>12</c:v>
                      </c:pt>
                      <c:pt idx="17">
                        <c:v>8</c:v>
                      </c:pt>
                      <c:pt idx="18">
                        <c:v>9</c:v>
                      </c:pt>
                      <c:pt idx="19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8F7-459B-A65D-4A447BD6F4C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S_Becerril'!$E$7</c15:sqref>
                        </c15:formulaRef>
                      </c:ext>
                    </c:extLst>
                    <c:strCache>
                      <c:ptCount val="1"/>
                      <c:pt idx="0">
                        <c:v>Usuarios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S_Becerril'!$A$8:$A$27</c15:sqref>
                        </c15:formulaRef>
                      </c:ext>
                    </c:extLst>
                    <c:numCache>
                      <c:formatCode>d\-mmm</c:formatCode>
                      <c:ptCount val="20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'Curva S_Becerril'!$E$8:$E$27</c15:sqref>
                        </c15:formulaRef>
                      </c:ext>
                    </c:extLst>
                    <c:numCache>
                      <c:formatCode>0</c:formatCode>
                      <c:ptCount val="20"/>
                      <c:pt idx="0">
                        <c:v>0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11</c:v>
                      </c:pt>
                      <c:pt idx="4">
                        <c:v>23</c:v>
                      </c:pt>
                      <c:pt idx="5">
                        <c:v>22</c:v>
                      </c:pt>
                      <c:pt idx="6">
                        <c:v>35</c:v>
                      </c:pt>
                      <c:pt idx="7">
                        <c:v>34</c:v>
                      </c:pt>
                      <c:pt idx="8">
                        <c:v>43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8F7-459B-A65D-4A447BD6F4C3}"/>
                  </c:ext>
                </c:extLst>
              </c15:ser>
            </c15:filteredLineSeries>
          </c:ext>
        </c:extLst>
      </c:lineChart>
      <c:dateAx>
        <c:axId val="37804280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8040880"/>
        <c:crosses val="autoZero"/>
        <c:auto val="1"/>
        <c:lblOffset val="100"/>
        <c:baseTimeUnit val="days"/>
      </c:dateAx>
      <c:valAx>
        <c:axId val="37804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2400" b="1"/>
                  <a:t>USUARIOS</a:t>
                </a:r>
              </a:p>
            </c:rich>
          </c:tx>
          <c:layout>
            <c:manualLayout>
              <c:xMode val="edge"/>
              <c:yMode val="edge"/>
              <c:x val="0.10835030847601676"/>
              <c:y val="0.342216912196753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780428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34414</xdr:colOff>
      <xdr:row>44</xdr:row>
      <xdr:rowOff>314</xdr:rowOff>
    </xdr:from>
    <xdr:to>
      <xdr:col>12</xdr:col>
      <xdr:colOff>782410</xdr:colOff>
      <xdr:row>80</xdr:row>
      <xdr:rowOff>59530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DC7F5B9-26E4-4476-AF26-D50917DFC2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23810</xdr:colOff>
      <xdr:row>43</xdr:row>
      <xdr:rowOff>131991</xdr:rowOff>
    </xdr:from>
    <xdr:to>
      <xdr:col>28</xdr:col>
      <xdr:colOff>221115</xdr:colOff>
      <xdr:row>80</xdr:row>
      <xdr:rowOff>136072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DB731C4-5D72-2FAF-7B82-96D79A68C1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27213</xdr:colOff>
      <xdr:row>129</xdr:row>
      <xdr:rowOff>52895</xdr:rowOff>
    </xdr:from>
    <xdr:to>
      <xdr:col>15</xdr:col>
      <xdr:colOff>340177</xdr:colOff>
      <xdr:row>170</xdr:row>
      <xdr:rowOff>59531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0596046-0BE4-41D1-EB76-EBE00E881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477951</xdr:colOff>
      <xdr:row>129</xdr:row>
      <xdr:rowOff>18876</xdr:rowOff>
    </xdr:from>
    <xdr:to>
      <xdr:col>29</xdr:col>
      <xdr:colOff>144575</xdr:colOff>
      <xdr:row>170</xdr:row>
      <xdr:rowOff>127566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925D074-771A-4D54-9BBE-FD52339636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367392</xdr:colOff>
      <xdr:row>176</xdr:row>
      <xdr:rowOff>86915</xdr:rowOff>
    </xdr:from>
    <xdr:to>
      <xdr:col>29</xdr:col>
      <xdr:colOff>408213</xdr:colOff>
      <xdr:row>219</xdr:row>
      <xdr:rowOff>59532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04AD587-8B4B-BB98-2732-90370C3104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109537</xdr:colOff>
      <xdr:row>3</xdr:row>
      <xdr:rowOff>33339</xdr:rowOff>
    </xdr:from>
    <xdr:to>
      <xdr:col>8</xdr:col>
      <xdr:colOff>238124</xdr:colOff>
      <xdr:row>3</xdr:row>
      <xdr:rowOff>142877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25427DD0-C016-DE4A-EDA2-E8489B82E8CC}"/>
            </a:ext>
          </a:extLst>
        </xdr:cNvPr>
        <xdr:cNvSpPr/>
      </xdr:nvSpPr>
      <xdr:spPr>
        <a:xfrm>
          <a:off x="7620000" y="728664"/>
          <a:ext cx="128587" cy="109538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109537</xdr:colOff>
      <xdr:row>4</xdr:row>
      <xdr:rowOff>190502</xdr:rowOff>
    </xdr:from>
    <xdr:to>
      <xdr:col>8</xdr:col>
      <xdr:colOff>238124</xdr:colOff>
      <xdr:row>4</xdr:row>
      <xdr:rowOff>300040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6D993111-7FB1-4017-BAA3-721229BE03DE}"/>
            </a:ext>
          </a:extLst>
        </xdr:cNvPr>
        <xdr:cNvSpPr/>
      </xdr:nvSpPr>
      <xdr:spPr>
        <a:xfrm>
          <a:off x="7620000" y="1066802"/>
          <a:ext cx="128587" cy="109538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104774</xdr:colOff>
      <xdr:row>5</xdr:row>
      <xdr:rowOff>128588</xdr:rowOff>
    </xdr:from>
    <xdr:to>
      <xdr:col>8</xdr:col>
      <xdr:colOff>233361</xdr:colOff>
      <xdr:row>5</xdr:row>
      <xdr:rowOff>238126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1ED63674-AA01-4644-8A23-EE8D2B7BECF7}"/>
            </a:ext>
          </a:extLst>
        </xdr:cNvPr>
        <xdr:cNvSpPr/>
      </xdr:nvSpPr>
      <xdr:spPr>
        <a:xfrm>
          <a:off x="7615237" y="1504951"/>
          <a:ext cx="128587" cy="109538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104774</xdr:colOff>
      <xdr:row>6</xdr:row>
      <xdr:rowOff>100014</xdr:rowOff>
    </xdr:from>
    <xdr:to>
      <xdr:col>8</xdr:col>
      <xdr:colOff>233361</xdr:colOff>
      <xdr:row>6</xdr:row>
      <xdr:rowOff>209552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D47F127C-2C69-4C50-AA38-4CFCE82B1EB8}"/>
            </a:ext>
          </a:extLst>
        </xdr:cNvPr>
        <xdr:cNvSpPr/>
      </xdr:nvSpPr>
      <xdr:spPr>
        <a:xfrm>
          <a:off x="7615237" y="1847852"/>
          <a:ext cx="128587" cy="109538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100012</xdr:colOff>
      <xdr:row>7</xdr:row>
      <xdr:rowOff>433389</xdr:rowOff>
    </xdr:from>
    <xdr:to>
      <xdr:col>8</xdr:col>
      <xdr:colOff>228599</xdr:colOff>
      <xdr:row>7</xdr:row>
      <xdr:rowOff>542927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709DBFC2-FB91-4C71-8F21-866DBEC533A7}"/>
            </a:ext>
          </a:extLst>
        </xdr:cNvPr>
        <xdr:cNvSpPr/>
      </xdr:nvSpPr>
      <xdr:spPr>
        <a:xfrm>
          <a:off x="7610475" y="2505077"/>
          <a:ext cx="128587" cy="109538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95643</xdr:colOff>
      <xdr:row>9</xdr:row>
      <xdr:rowOff>73449</xdr:rowOff>
    </xdr:from>
    <xdr:to>
      <xdr:col>8</xdr:col>
      <xdr:colOff>224230</xdr:colOff>
      <xdr:row>9</xdr:row>
      <xdr:rowOff>182987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DF445DE0-A196-45E1-888D-F02D7D832168}"/>
            </a:ext>
          </a:extLst>
        </xdr:cNvPr>
        <xdr:cNvSpPr/>
      </xdr:nvSpPr>
      <xdr:spPr>
        <a:xfrm>
          <a:off x="7602042" y="3332921"/>
          <a:ext cx="128587" cy="109538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98440</xdr:colOff>
      <xdr:row>14</xdr:row>
      <xdr:rowOff>108363</xdr:rowOff>
    </xdr:from>
    <xdr:to>
      <xdr:col>8</xdr:col>
      <xdr:colOff>227027</xdr:colOff>
      <xdr:row>14</xdr:row>
      <xdr:rowOff>217901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F1700E2-660C-44E9-84CB-D024A6AB5406}"/>
            </a:ext>
          </a:extLst>
        </xdr:cNvPr>
        <xdr:cNvSpPr/>
      </xdr:nvSpPr>
      <xdr:spPr>
        <a:xfrm>
          <a:off x="7604839" y="4870863"/>
          <a:ext cx="128587" cy="109538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111545</xdr:colOff>
      <xdr:row>15</xdr:row>
      <xdr:rowOff>114347</xdr:rowOff>
    </xdr:from>
    <xdr:to>
      <xdr:col>8</xdr:col>
      <xdr:colOff>240132</xdr:colOff>
      <xdr:row>15</xdr:row>
      <xdr:rowOff>223885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C93BA4ED-69E0-48C5-ADB9-050BAD32887A}"/>
            </a:ext>
          </a:extLst>
        </xdr:cNvPr>
        <xdr:cNvSpPr/>
      </xdr:nvSpPr>
      <xdr:spPr>
        <a:xfrm>
          <a:off x="7617944" y="5226388"/>
          <a:ext cx="128587" cy="109538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121073</xdr:colOff>
      <xdr:row>16</xdr:row>
      <xdr:rowOff>93288</xdr:rowOff>
    </xdr:from>
    <xdr:to>
      <xdr:col>8</xdr:col>
      <xdr:colOff>249660</xdr:colOff>
      <xdr:row>16</xdr:row>
      <xdr:rowOff>202826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69A65612-38A0-4061-A59B-1561201C2971}"/>
            </a:ext>
          </a:extLst>
        </xdr:cNvPr>
        <xdr:cNvSpPr/>
      </xdr:nvSpPr>
      <xdr:spPr>
        <a:xfrm>
          <a:off x="7627472" y="5541763"/>
          <a:ext cx="128587" cy="109538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117096</xdr:colOff>
      <xdr:row>17</xdr:row>
      <xdr:rowOff>84945</xdr:rowOff>
    </xdr:from>
    <xdr:to>
      <xdr:col>8</xdr:col>
      <xdr:colOff>245683</xdr:colOff>
      <xdr:row>17</xdr:row>
      <xdr:rowOff>194483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BB3C52F4-6E66-4F1B-A886-808D76A2618A}"/>
            </a:ext>
          </a:extLst>
        </xdr:cNvPr>
        <xdr:cNvSpPr/>
      </xdr:nvSpPr>
      <xdr:spPr>
        <a:xfrm>
          <a:off x="7623495" y="5708191"/>
          <a:ext cx="128587" cy="109538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103595</xdr:colOff>
      <xdr:row>18</xdr:row>
      <xdr:rowOff>80614</xdr:rowOff>
    </xdr:from>
    <xdr:to>
      <xdr:col>8</xdr:col>
      <xdr:colOff>232182</xdr:colOff>
      <xdr:row>18</xdr:row>
      <xdr:rowOff>190152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5E4D50E7-E989-455E-86F7-212693EA1880}"/>
            </a:ext>
          </a:extLst>
        </xdr:cNvPr>
        <xdr:cNvSpPr/>
      </xdr:nvSpPr>
      <xdr:spPr>
        <a:xfrm>
          <a:off x="7609994" y="6162632"/>
          <a:ext cx="128587" cy="109538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103552</xdr:colOff>
      <xdr:row>8</xdr:row>
      <xdr:rowOff>118671</xdr:rowOff>
    </xdr:from>
    <xdr:to>
      <xdr:col>8</xdr:col>
      <xdr:colOff>232139</xdr:colOff>
      <xdr:row>8</xdr:row>
      <xdr:rowOff>228209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739FB179-7254-412E-B13F-A133336794B9}"/>
            </a:ext>
          </a:extLst>
        </xdr:cNvPr>
        <xdr:cNvSpPr/>
      </xdr:nvSpPr>
      <xdr:spPr>
        <a:xfrm>
          <a:off x="7609951" y="3181527"/>
          <a:ext cx="128587" cy="109538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104076</xdr:colOff>
      <xdr:row>7</xdr:row>
      <xdr:rowOff>442783</xdr:rowOff>
    </xdr:from>
    <xdr:to>
      <xdr:col>8</xdr:col>
      <xdr:colOff>232663</xdr:colOff>
      <xdr:row>7</xdr:row>
      <xdr:rowOff>552321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F5CD520C-A456-4DAD-8EEF-7877807F9392}"/>
            </a:ext>
          </a:extLst>
        </xdr:cNvPr>
        <xdr:cNvSpPr/>
      </xdr:nvSpPr>
      <xdr:spPr>
        <a:xfrm>
          <a:off x="7610475" y="2505077"/>
          <a:ext cx="128587" cy="109538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90443</xdr:colOff>
      <xdr:row>12</xdr:row>
      <xdr:rowOff>57763</xdr:rowOff>
    </xdr:from>
    <xdr:to>
      <xdr:col>8</xdr:col>
      <xdr:colOff>219030</xdr:colOff>
      <xdr:row>12</xdr:row>
      <xdr:rowOff>167301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FB646128-1D40-473A-99E6-EAE3A045B88A}"/>
            </a:ext>
          </a:extLst>
        </xdr:cNvPr>
        <xdr:cNvSpPr/>
      </xdr:nvSpPr>
      <xdr:spPr>
        <a:xfrm>
          <a:off x="7596842" y="4147396"/>
          <a:ext cx="128587" cy="109538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98657</xdr:colOff>
      <xdr:row>13</xdr:row>
      <xdr:rowOff>87825</xdr:rowOff>
    </xdr:from>
    <xdr:to>
      <xdr:col>8</xdr:col>
      <xdr:colOff>227244</xdr:colOff>
      <xdr:row>13</xdr:row>
      <xdr:rowOff>197363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56A09816-4C47-4683-BD50-2CD2DCC46D22}"/>
            </a:ext>
          </a:extLst>
        </xdr:cNvPr>
        <xdr:cNvSpPr/>
      </xdr:nvSpPr>
      <xdr:spPr>
        <a:xfrm>
          <a:off x="7605056" y="4422137"/>
          <a:ext cx="128587" cy="109538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94289</xdr:colOff>
      <xdr:row>10</xdr:row>
      <xdr:rowOff>43868</xdr:rowOff>
    </xdr:from>
    <xdr:to>
      <xdr:col>8</xdr:col>
      <xdr:colOff>222876</xdr:colOff>
      <xdr:row>10</xdr:row>
      <xdr:rowOff>153406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4185AC28-5D9C-4035-8E5B-983649005B24}"/>
            </a:ext>
          </a:extLst>
        </xdr:cNvPr>
        <xdr:cNvSpPr/>
      </xdr:nvSpPr>
      <xdr:spPr>
        <a:xfrm>
          <a:off x="7600688" y="3465004"/>
          <a:ext cx="128587" cy="109538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98134</xdr:colOff>
      <xdr:row>11</xdr:row>
      <xdr:rowOff>38975</xdr:rowOff>
    </xdr:from>
    <xdr:to>
      <xdr:col>8</xdr:col>
      <xdr:colOff>226721</xdr:colOff>
      <xdr:row>11</xdr:row>
      <xdr:rowOff>148513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6AE2402D-37E9-40F9-AC40-725A708F6D3C}"/>
            </a:ext>
          </a:extLst>
        </xdr:cNvPr>
        <xdr:cNvSpPr/>
      </xdr:nvSpPr>
      <xdr:spPr>
        <a:xfrm>
          <a:off x="7604533" y="3639250"/>
          <a:ext cx="128587" cy="109538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457197</xdr:colOff>
      <xdr:row>3</xdr:row>
      <xdr:rowOff>214309</xdr:rowOff>
    </xdr:from>
    <xdr:to>
      <xdr:col>25</xdr:col>
      <xdr:colOff>85724</xdr:colOff>
      <xdr:row>41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699A2E-934A-46BE-85C7-C73A21A4F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523871</xdr:colOff>
      <xdr:row>6</xdr:row>
      <xdr:rowOff>14284</xdr:rowOff>
    </xdr:from>
    <xdr:to>
      <xdr:col>26</xdr:col>
      <xdr:colOff>180976</xdr:colOff>
      <xdr:row>53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E33319-5EB9-4097-BCB8-40EBA315BB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nenergiacol.sharepoint.com/sites/msteams_c07b9d_609752/Shared%20Documents/General/19.%20PMO/1.%20Contratos%20OR/Consolidado%20Inaguraciones_CE_21.04.2026.xlsx" TargetMode="External"/><Relationship Id="rId1" Type="http://schemas.openxmlformats.org/officeDocument/2006/relationships/externalLinkPath" Target="Consolidado%20Inaguraciones_CE_21.04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 Inicial"/>
      <sheetName val="TD_Inicial"/>
      <sheetName val="TD Base Actualizada"/>
      <sheetName val="Base Actualizada"/>
      <sheetName val="Gráfica Inaguraciones"/>
      <sheetName val="Hoja3"/>
      <sheetName val="Sheet1"/>
      <sheetName val="Base_Actualizado_21.04.26"/>
    </sheetNames>
    <sheetDataSet>
      <sheetData sheetId="0"/>
      <sheetData sheetId="1"/>
      <sheetData sheetId="2"/>
      <sheetData sheetId="3">
        <row r="23">
          <cell r="E23">
            <v>6880380834</v>
          </cell>
        </row>
        <row r="24">
          <cell r="E24">
            <v>22802905997</v>
          </cell>
        </row>
        <row r="25">
          <cell r="E25">
            <v>9349545113</v>
          </cell>
        </row>
        <row r="26">
          <cell r="E26">
            <v>24764667070</v>
          </cell>
        </row>
      </sheetData>
      <sheetData sheetId="4"/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erto Falquez" refreshedDate="46150.123720601849" createdVersion="8" refreshedVersion="8" minRefreshableVersion="3" recordCount="51" xr:uid="{BBEC5268-F8A1-4E7C-A5CA-C3F0A71C3BF9}">
  <cacheSource type="worksheet">
    <worksheetSource ref="C2:P53" sheet="Base"/>
  </cacheSource>
  <cacheFields count="14">
    <cacheField name="CONTRATISTA" numFmtId="0">
      <sharedItems count="6">
        <s v="Electrocaqueta"/>
        <s v="Dispac"/>
        <s v="Gensa"/>
        <s v="Gecelca"/>
        <s v="IPSE"/>
        <s v="FENOGE"/>
      </sharedItems>
    </cacheField>
    <cacheField name="DEPARTAMENTO" numFmtId="0">
      <sharedItems count="18">
        <s v="Cesar"/>
        <s v="Magdalena"/>
        <s v="Santander"/>
        <s v="Nariño"/>
        <s v="Norte de Santander"/>
        <s v="La Guajira"/>
        <s v="Caqueta"/>
        <s v="Meta"/>
        <s v="Putumayo"/>
        <s v="Atlantico"/>
        <s v="Cauca"/>
        <s v="Vichada"/>
        <s v="Región 2 Caquetá"/>
        <s v="Región 3 Meta, Casanare y Arauca"/>
        <s v="Región 5 Huila y Tolima"/>
        <s v="Región 6 Cundinamarca"/>
        <s v="Región 8 Boyacá, Santander y Norte de Santander"/>
        <s v="Región 11 Atlántico, Magdalena, César y Guajira"/>
      </sharedItems>
    </cacheField>
    <cacheField name="PROYECTO" numFmtId="0">
      <sharedItems count="32">
        <s v="Becerril"/>
        <s v="Curumaní"/>
        <s v="Santa Marta"/>
        <s v="Santander"/>
        <s v="Guaca"/>
        <s v="Ricaurte"/>
        <s v="Norte de Santander"/>
        <s v="Maicao y Albania"/>
        <s v="Cartagena del Chaiira"/>
        <s v="La Uribe  "/>
        <s v="Uribia"/>
        <s v="San Miguel, Valle del Guamuez,Villa Garzon,Puerto Guzman"/>
        <s v="Villas de San Pablo"/>
        <s v="MANAURE"/>
        <s v="ARGELIA, PATÍA, PIENDAMÓ, TUNÍA, SOTARÁ"/>
        <s v="GUAPI"/>
        <s v="LOPEZ DE MICAY"/>
        <s v="ALBANIA"/>
        <s v="LA PRIMAVERA"/>
        <s v="Florencia"/>
        <s v="Vista Hermosa (235 kWp)"/>
        <s v="La Uribe (30 kWp)"/>
        <s v="Vista Hermosa (1.000 kWp)"/>
        <s v="Arauquita (1.000 kWp)"/>
        <s v="Agrado"/>
        <s v="Chaparral"/>
        <s v="Beltrán"/>
        <s v="Barrancabermeja"/>
        <s v="Villa de Leyva"/>
        <s v="Tibú"/>
        <s v="Jagua de Ibirico (2)"/>
        <s v="Riohacha"/>
      </sharedItems>
    </cacheField>
    <cacheField name="MUNICIPIO" numFmtId="0">
      <sharedItems/>
    </cacheField>
    <cacheField name="PROGRAMA" numFmtId="0">
      <sharedItems count="4">
        <s v="Comunidades Energéticas OR"/>
        <s v="Colombia Solar"/>
        <s v="IPSE"/>
        <s v="Fenoge 1.0 y 1.1"/>
      </sharedItems>
    </cacheField>
    <cacheField name="TIPO DE SOLUCIÓN" numFmtId="0">
      <sharedItems/>
    </cacheField>
    <cacheField name="INVERSIÓN" numFmtId="44">
      <sharedItems containsSemiMixedTypes="0" containsString="0" containsNumber="1" minValue="283500000" maxValue="298500463552.41559"/>
    </cacheField>
    <cacheField name="FECHA" numFmtId="16">
      <sharedItems containsSemiMixedTypes="0" containsNonDate="0" containsDate="1" containsString="0" minDate="2026-05-07T00:00:00" maxDate="2026-08-16T00:00:00" count="17">
        <d v="2026-05-20T00:00:00"/>
        <d v="2026-06-11T00:00:00"/>
        <d v="2026-07-25T00:00:00"/>
        <d v="2026-05-25T00:00:00"/>
        <d v="2026-06-15T00:00:00"/>
        <d v="2026-06-20T00:00:00"/>
        <d v="2026-05-30T00:00:00"/>
        <d v="2026-06-30T00:00:00"/>
        <d v="2026-07-30T00:00:00"/>
        <d v="2026-05-07T00:00:00"/>
        <d v="2026-05-21T00:00:00"/>
        <d v="2026-05-22T00:00:00"/>
        <d v="2026-05-27T00:00:00"/>
        <d v="2026-06-17T00:00:00"/>
        <d v="2026-05-15T00:00:00"/>
        <d v="2026-08-15T00:00:00"/>
        <d v="2026-07-15T00:00:00"/>
      </sharedItems>
    </cacheField>
    <cacheField name="MES" numFmtId="16">
      <sharedItems count="4">
        <s v="Mayo"/>
        <s v="Junio"/>
        <s v="Julio"/>
        <s v="Agosto"/>
      </sharedItems>
    </cacheField>
    <cacheField name="PLANEADO (USUARIOS)" numFmtId="0">
      <sharedItems containsSemiMixedTypes="0" containsString="0" containsNumber="1" containsInteger="1" minValue="10" maxValue="9864"/>
    </cacheField>
    <cacheField name="EJECUTADO (USUARIOS)" numFmtId="0">
      <sharedItems containsSemiMixedTypes="0" containsString="0" containsNumber="1" containsInteger="1" minValue="0" maxValue="180"/>
    </cacheField>
    <cacheField name="CAPACIDAD (kWp) (PLANEADA)" numFmtId="0">
      <sharedItems containsSemiMixedTypes="0" containsString="0" containsNumber="1" minValue="11.020881670533642" maxValue="10850.030007501877"/>
    </cacheField>
    <cacheField name="CAPACIDAD (kWp) (EJECUTADA)" numFmtId="2">
      <sharedItems containsSemiMixedTypes="0" containsString="0" containsNumber="1" minValue="0" maxValue="219.58266452648476"/>
    </cacheField>
    <cacheField name="EFICIENCIA" numFmtId="9">
      <sharedItems containsSemiMixedTypes="0" containsString="0" containsNumber="1" minValue="0" maxValue="0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erto Falquez" refreshedDate="46164.640616319448" createdVersion="8" refreshedVersion="8" minRefreshableVersion="3" recordCount="18" xr:uid="{58624F22-04EB-4E4A-8E6F-59004710D976}">
  <cacheSource type="worksheet">
    <worksheetSource name="Tabla1"/>
  </cacheSource>
  <cacheFields count="25">
    <cacheField name="Proyecto" numFmtId="0">
      <sharedItems count="18">
        <s v="Nuqui"/>
        <s v="Bahia Solano"/>
        <s v="Maicao Y Albania"/>
        <s v="Norte De Santander"/>
        <s v="Ricaurte"/>
        <s v="Santa Marta"/>
        <s v="Santander 11 Municipios"/>
        <s v="Santander - Guaca"/>
        <s v="La Uribe"/>
        <s v="Becerril"/>
        <s v="Curumani"/>
        <s v="Uribia"/>
        <s v="San Miguel"/>
        <s v="Valle Del Guamuez"/>
        <s v="Villa Garzon"/>
        <s v="Puerto Guzman"/>
        <s v="Cartagena Del Chaira"/>
        <s v="Villas de San Pablo"/>
      </sharedItems>
    </cacheField>
    <cacheField name="Departamento" numFmtId="0">
      <sharedItems count="11">
        <s v="Chocó"/>
        <s v="La Guajira"/>
        <s v="Norte de Santander"/>
        <s v="Nariño"/>
        <s v="Magdalena"/>
        <s v="Santander"/>
        <s v="Meta"/>
        <s v="Cesar"/>
        <s v="Putumayo"/>
        <s v="Caquetá"/>
        <s v="Atlantico"/>
      </sharedItems>
    </cacheField>
    <cacheField name="Municipio" numFmtId="0">
      <sharedItems/>
    </cacheField>
    <cacheField name="Operador de Red" numFmtId="0">
      <sharedItems count="4">
        <s v="DISPAC"/>
        <s v="GENSA"/>
        <s v="ELECTROCAQUETA"/>
        <s v="GECELCA"/>
      </sharedItems>
    </cacheField>
    <cacheField name="Inversion" numFmtId="0">
      <sharedItems containsSemiMixedTypes="0" containsString="0" containsNumber="1" containsInteger="1" minValue="4402514558" maxValue="322709746890"/>
    </cacheField>
    <cacheField name="Potencia a Instalar MWp" numFmtId="0">
      <sharedItems containsSemiMixedTypes="0" containsString="0" containsNumber="1" minValue="0.19" maxValue="11.73"/>
    </cacheField>
    <cacheField name="Usuarios Totales" numFmtId="3">
      <sharedItems containsSemiMixedTypes="0" containsString="0" containsNumber="1" containsInteger="1" minValue="154" maxValue="10664"/>
    </cacheField>
    <cacheField name="05/05/2026" numFmtId="3">
      <sharedItems containsSemiMixedTypes="0" containsString="0" containsNumber="1" containsInteger="1" minValue="0" maxValue="100" count="8">
        <n v="50"/>
        <n v="20"/>
        <n v="0"/>
        <n v="70"/>
        <n v="100"/>
        <n v="60"/>
        <n v="10"/>
        <n v="35"/>
      </sharedItems>
    </cacheField>
    <cacheField name="10/05/2026" numFmtId="3">
      <sharedItems containsSemiMixedTypes="0" containsString="0" containsNumber="1" containsInteger="1" minValue="0" maxValue="125" count="10">
        <n v="100"/>
        <n v="45"/>
        <n v="0"/>
        <n v="95"/>
        <n v="125"/>
        <n v="85"/>
        <n v="120"/>
        <n v="35"/>
        <n v="20"/>
        <n v="60"/>
      </sharedItems>
    </cacheField>
    <cacheField name="15/05/2026" numFmtId="3">
      <sharedItems containsSemiMixedTypes="0" containsString="0" containsNumber="1" containsInteger="1" minValue="0" maxValue="185" count="12">
        <n v="150"/>
        <n v="115"/>
        <n v="80"/>
        <n v="0"/>
        <n v="165"/>
        <n v="185"/>
        <n v="155"/>
        <n v="180"/>
        <n v="45"/>
        <n v="105"/>
        <n v="30"/>
        <n v="130"/>
      </sharedItems>
    </cacheField>
    <cacheField name="20/05/2026" numFmtId="3">
      <sharedItems containsSemiMixedTypes="0" containsString="0" containsNumber="1" containsInteger="1" minValue="0" maxValue="240"/>
    </cacheField>
    <cacheField name="25/05/2026" numFmtId="3">
      <sharedItems containsSemiMixedTypes="0" containsString="0" containsNumber="1" containsInteger="1" minValue="0" maxValue="400"/>
    </cacheField>
    <cacheField name="30/05/2026" numFmtId="3">
      <sharedItems containsSemiMixedTypes="0" containsString="0" containsNumber="1" containsInteger="1" minValue="0" maxValue="480"/>
    </cacheField>
    <cacheField name="04/06/2026" numFmtId="3">
      <sharedItems containsSemiMixedTypes="0" containsString="0" containsNumber="1" containsInteger="1" minValue="0" maxValue="560"/>
    </cacheField>
    <cacheField name="09/06/2026" numFmtId="3">
      <sharedItems containsSemiMixedTypes="0" containsString="0" containsNumber="1" containsInteger="1" minValue="75" maxValue="640"/>
    </cacheField>
    <cacheField name="14/06/2026" numFmtId="3">
      <sharedItems containsSemiMixedTypes="0" containsString="0" containsNumber="1" containsInteger="1" minValue="47" maxValue="720"/>
    </cacheField>
    <cacheField name="20/06/2026" numFmtId="3">
      <sharedItems containsString="0" containsBlank="1" containsNumber="1" containsInteger="1" minValue="50" maxValue="800"/>
    </cacheField>
    <cacheField name="25/06/2026" numFmtId="3">
      <sharedItems containsString="0" containsBlank="1" containsNumber="1" containsInteger="1" minValue="60" maxValue="1050"/>
    </cacheField>
    <cacheField name="30/06/2026" numFmtId="3">
      <sharedItems containsString="0" containsBlank="1" containsNumber="1" containsInteger="1" minValue="65" maxValue="1550"/>
    </cacheField>
    <cacheField name="05/07/2026" numFmtId="3">
      <sharedItems containsString="0" containsBlank="1" containsNumber="1" containsInteger="1" minValue="70" maxValue="2350"/>
    </cacheField>
    <cacheField name="10/07/2026" numFmtId="3">
      <sharedItems containsString="0" containsBlank="1" containsNumber="1" containsInteger="1" minValue="80" maxValue="3350"/>
    </cacheField>
    <cacheField name="15/07/2026" numFmtId="3">
      <sharedItems containsString="0" containsBlank="1" containsNumber="1" containsInteger="1" minValue="85" maxValue="4600"/>
    </cacheField>
    <cacheField name="20/07/2026" numFmtId="3">
      <sharedItems containsString="0" containsBlank="1" containsNumber="1" containsInteger="1" minValue="90" maxValue="6100"/>
    </cacheField>
    <cacheField name="25/07/2026" numFmtId="3">
      <sharedItems containsString="0" containsBlank="1" containsNumber="1" containsInteger="1" minValue="95" maxValue="8100"/>
    </cacheField>
    <cacheField name="30/07/2026" numFmtId="3">
      <sharedItems containsString="0" containsBlank="1" containsNumber="1" containsInteger="1" minValue="154" maxValue="106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x v="0"/>
    <x v="0"/>
    <s v="Becerril"/>
    <x v="0"/>
    <s v="Individual"/>
    <n v="5922249995.8266449"/>
    <x v="0"/>
    <x v="0"/>
    <n v="200"/>
    <n v="180"/>
    <n v="243.98073836276083"/>
    <n v="219.58266452648476"/>
    <n v="0.9"/>
  </r>
  <r>
    <x v="0"/>
    <x v="0"/>
    <x v="0"/>
    <s v="Becerril"/>
    <x v="0"/>
    <s v="Individual"/>
    <n v="5922249995.8266449"/>
    <x v="1"/>
    <x v="1"/>
    <n v="200"/>
    <n v="0"/>
    <n v="243.98073836276083"/>
    <n v="0"/>
    <n v="0"/>
  </r>
  <r>
    <x v="0"/>
    <x v="0"/>
    <x v="0"/>
    <s v="Becerril"/>
    <x v="0"/>
    <s v="Individual"/>
    <n v="6603308745.3467093"/>
    <x v="2"/>
    <x v="2"/>
    <n v="223"/>
    <n v="0"/>
    <n v="272.03852327447834"/>
    <n v="0"/>
    <n v="0"/>
  </r>
  <r>
    <x v="0"/>
    <x v="0"/>
    <x v="1"/>
    <s v="Curumaní"/>
    <x v="0"/>
    <s v="Individual"/>
    <n v="2902990545.6730766"/>
    <x v="0"/>
    <x v="0"/>
    <n v="100"/>
    <n v="0"/>
    <n v="121.79487179487178"/>
    <n v="0"/>
    <n v="0"/>
  </r>
  <r>
    <x v="0"/>
    <x v="0"/>
    <x v="1"/>
    <s v="Curumaní"/>
    <x v="0"/>
    <s v="Individual"/>
    <n v="4354485818.5096149"/>
    <x v="1"/>
    <x v="1"/>
    <n v="150"/>
    <n v="0"/>
    <n v="182.69230769230768"/>
    <n v="0"/>
    <n v="0"/>
  </r>
  <r>
    <x v="0"/>
    <x v="0"/>
    <x v="1"/>
    <s v="Curumaní"/>
    <x v="0"/>
    <s v="Individual"/>
    <n v="10857184640.817307"/>
    <x v="2"/>
    <x v="2"/>
    <n v="374"/>
    <n v="0"/>
    <n v="455.5128205128205"/>
    <n v="0"/>
    <n v="0"/>
  </r>
  <r>
    <x v="0"/>
    <x v="1"/>
    <x v="2"/>
    <s v="Santa Marta"/>
    <x v="0"/>
    <s v="Individual"/>
    <n v="16156623820.999367"/>
    <x v="1"/>
    <x v="1"/>
    <n v="500"/>
    <n v="0"/>
    <n v="550.28462998102464"/>
    <n v="0"/>
    <n v="0"/>
  </r>
  <r>
    <x v="0"/>
    <x v="1"/>
    <x v="2"/>
    <s v="Santa Marta"/>
    <x v="0"/>
    <s v="Individual"/>
    <n v="34930620701.000633"/>
    <x v="2"/>
    <x v="2"/>
    <n v="1081"/>
    <n v="0"/>
    <n v="1189.7153700189754"/>
    <n v="0"/>
    <n v="0"/>
  </r>
  <r>
    <x v="0"/>
    <x v="2"/>
    <x v="3"/>
    <s v="Bolivar, Charalá, El Peñón, Florian, La Belleza, Landazuri, Ocamonte, Simac ota, Sucre, zapatoca"/>
    <x v="0"/>
    <s v="Individual"/>
    <n v="22713076563.816925"/>
    <x v="1"/>
    <x v="1"/>
    <n v="700"/>
    <n v="0"/>
    <n v="767.70293609671853"/>
    <n v="0"/>
    <n v="0"/>
  </r>
  <r>
    <x v="0"/>
    <x v="2"/>
    <x v="3"/>
    <s v="Bolivar, Charalá, El Peñón, Florian, La Belleza, Landazuri, Ocamonte, Simac ota, Sucre, zapatoca"/>
    <x v="0"/>
    <s v="Individual"/>
    <n v="14860841523.183073"/>
    <x v="2"/>
    <x v="2"/>
    <n v="458"/>
    <n v="0"/>
    <n v="502.29706390328153"/>
    <n v="0"/>
    <n v="0"/>
  </r>
  <r>
    <x v="0"/>
    <x v="2"/>
    <x v="4"/>
    <s v="Guaca"/>
    <x v="0"/>
    <s v="Individual"/>
    <n v="2372783820.2207789"/>
    <x v="1"/>
    <x v="1"/>
    <n v="83"/>
    <n v="0"/>
    <n v="102.40259740259741"/>
    <n v="0"/>
    <n v="0"/>
  </r>
  <r>
    <x v="0"/>
    <x v="2"/>
    <x v="4"/>
    <s v="Guaca"/>
    <x v="0"/>
    <s v="Individual"/>
    <n v="2029730737.7792206"/>
    <x v="2"/>
    <x v="2"/>
    <n v="71"/>
    <n v="0"/>
    <n v="87.597402597402606"/>
    <n v="0"/>
    <n v="0"/>
  </r>
  <r>
    <x v="0"/>
    <x v="3"/>
    <x v="5"/>
    <s v="Ricaurte"/>
    <x v="0"/>
    <s v="Individual"/>
    <n v="321833278.88631094"/>
    <x v="1"/>
    <x v="1"/>
    <n v="10"/>
    <n v="0"/>
    <n v="11.020881670533642"/>
    <n v="0"/>
    <n v="0"/>
  </r>
  <r>
    <x v="0"/>
    <x v="3"/>
    <x v="5"/>
    <s v="Ricaurte"/>
    <x v="0"/>
    <s v="Individual"/>
    <n v="27420195361.113689"/>
    <x v="2"/>
    <x v="2"/>
    <n v="852"/>
    <n v="0"/>
    <n v="938.97911832946636"/>
    <n v="0"/>
    <n v="0"/>
  </r>
  <r>
    <x v="0"/>
    <x v="4"/>
    <x v="6"/>
    <s v="TEORAMA_x000a_EL CARMEN_x000a_CONVENCIÓN_x000a_HACARI_x000a_SAN CALIXTO_x000a_TIBU"/>
    <x v="0"/>
    <s v="Individual"/>
    <n v="121589085878"/>
    <x v="2"/>
    <x v="2"/>
    <n v="3783"/>
    <n v="0"/>
    <n v="4160"/>
    <n v="0"/>
    <n v="0"/>
  </r>
  <r>
    <x v="1"/>
    <x v="5"/>
    <x v="7"/>
    <s v="Maicao y Albania"/>
    <x v="0"/>
    <s v="Individual"/>
    <n v="12104641668.792198"/>
    <x v="3"/>
    <x v="0"/>
    <n v="400"/>
    <n v="0"/>
    <n v="439.98499624906231"/>
    <n v="0"/>
    <n v="0"/>
  </r>
  <r>
    <x v="1"/>
    <x v="5"/>
    <x v="7"/>
    <s v="Maicao y Albania"/>
    <x v="0"/>
    <s v="Individual"/>
    <n v="12104641668.792198"/>
    <x v="4"/>
    <x v="1"/>
    <n v="400"/>
    <n v="0"/>
    <n v="439.98499624906231"/>
    <n v="0"/>
    <n v="0"/>
  </r>
  <r>
    <x v="1"/>
    <x v="5"/>
    <x v="7"/>
    <s v="Maicao y Albania"/>
    <x v="0"/>
    <s v="Individual"/>
    <n v="298500463552.41559"/>
    <x v="2"/>
    <x v="2"/>
    <n v="9864"/>
    <n v="0"/>
    <n v="10850.030007501877"/>
    <n v="0"/>
    <n v="0"/>
  </r>
  <r>
    <x v="2"/>
    <x v="6"/>
    <x v="8"/>
    <s v="Cartagena del Chaiira"/>
    <x v="0"/>
    <s v="Individual"/>
    <n v="6473467399.4701986"/>
    <x v="0"/>
    <x v="0"/>
    <n v="200"/>
    <n v="0"/>
    <n v="402.64900662251659"/>
    <n v="0"/>
    <n v="0"/>
  </r>
  <r>
    <x v="2"/>
    <x v="6"/>
    <x v="8"/>
    <s v="Cartagena del Chaiira"/>
    <x v="0"/>
    <s v="Individual"/>
    <n v="6473467399.4701986"/>
    <x v="5"/>
    <x v="1"/>
    <n v="200"/>
    <n v="0"/>
    <n v="402.64900662251659"/>
    <n v="0"/>
    <n v="0"/>
  </r>
  <r>
    <x v="2"/>
    <x v="6"/>
    <x v="8"/>
    <s v="Cartagena del Chaiira"/>
    <x v="0"/>
    <s v="Individual"/>
    <n v="11490404634.059603"/>
    <x v="2"/>
    <x v="2"/>
    <n v="355"/>
    <n v="0"/>
    <n v="714.70198675496692"/>
    <n v="0"/>
    <n v="0"/>
  </r>
  <r>
    <x v="2"/>
    <x v="7"/>
    <x v="9"/>
    <s v="La Uribe  "/>
    <x v="0"/>
    <s v="Individual"/>
    <n v="6265257182.2532396"/>
    <x v="6"/>
    <x v="0"/>
    <n v="200"/>
    <n v="0"/>
    <n v="241.27617148554336"/>
    <n v="0"/>
    <n v="0"/>
  </r>
  <r>
    <x v="2"/>
    <x v="7"/>
    <x v="9"/>
    <s v="La Uribe  "/>
    <x v="0"/>
    <s v="Individual"/>
    <n v="9397885773.3798599"/>
    <x v="5"/>
    <x v="1"/>
    <n v="300"/>
    <n v="0"/>
    <n v="361.91425722831502"/>
    <n v="0"/>
    <n v="0"/>
  </r>
  <r>
    <x v="2"/>
    <x v="7"/>
    <x v="9"/>
    <s v="La Uribe  "/>
    <x v="0"/>
    <s v="Individual"/>
    <n v="15757121813.366899"/>
    <x v="2"/>
    <x v="2"/>
    <n v="503"/>
    <n v="0"/>
    <n v="606.80957128614159"/>
    <n v="0"/>
    <n v="0"/>
  </r>
  <r>
    <x v="2"/>
    <x v="5"/>
    <x v="10"/>
    <s v="Uribia"/>
    <x v="0"/>
    <s v="Individual"/>
    <n v="3071326990.5"/>
    <x v="6"/>
    <x v="0"/>
    <n v="100"/>
    <n v="0"/>
    <n v="120"/>
    <n v="0"/>
    <n v="0"/>
  </r>
  <r>
    <x v="2"/>
    <x v="5"/>
    <x v="10"/>
    <s v="Uribia"/>
    <x v="0"/>
    <s v="Individual"/>
    <n v="4606990485.75"/>
    <x v="5"/>
    <x v="1"/>
    <n v="150"/>
    <n v="0"/>
    <n v="180"/>
    <n v="0"/>
    <n v="0"/>
  </r>
  <r>
    <x v="2"/>
    <x v="5"/>
    <x v="10"/>
    <s v="Uribia"/>
    <x v="0"/>
    <s v="Individual"/>
    <n v="23034952428.75"/>
    <x v="2"/>
    <x v="2"/>
    <n v="750"/>
    <n v="0"/>
    <n v="900"/>
    <n v="0"/>
    <n v="0"/>
  </r>
  <r>
    <x v="2"/>
    <x v="8"/>
    <x v="11"/>
    <s v="San Miguel, Valle del Guamuez,Villa Garzon,Puerto Guzman"/>
    <x v="0"/>
    <s v="Individual"/>
    <n v="12721335795.413759"/>
    <x v="3"/>
    <x v="0"/>
    <n v="400"/>
    <n v="0"/>
    <n v="508.47457627118644"/>
    <n v="0"/>
    <n v="0"/>
  </r>
  <r>
    <x v="2"/>
    <x v="8"/>
    <x v="11"/>
    <s v="San Miguel, Valle del Guamuez,Villa Garzon,Puerto Guzman"/>
    <x v="0"/>
    <s v="Individual"/>
    <n v="51076163218.586243"/>
    <x v="2"/>
    <x v="2"/>
    <n v="1606"/>
    <n v="0"/>
    <n v="2041.5254237288134"/>
    <n v="0"/>
    <n v="0"/>
  </r>
  <r>
    <x v="3"/>
    <x v="9"/>
    <x v="12"/>
    <s v="Atlantico"/>
    <x v="1"/>
    <s v="Individual"/>
    <n v="8256253500"/>
    <x v="0"/>
    <x v="0"/>
    <n v="500"/>
    <n v="12"/>
    <n v="750"/>
    <n v="18"/>
    <n v="2.4E-2"/>
  </r>
  <r>
    <x v="3"/>
    <x v="9"/>
    <x v="12"/>
    <s v="Atlantico"/>
    <x v="1"/>
    <s v="Individual"/>
    <n v="11278042281"/>
    <x v="7"/>
    <x v="1"/>
    <n v="683"/>
    <n v="0"/>
    <n v="1229.3999999999999"/>
    <n v="0"/>
    <n v="0"/>
  </r>
  <r>
    <x v="3"/>
    <x v="9"/>
    <x v="12"/>
    <s v="Atlantico"/>
    <x v="1"/>
    <s v="Individual"/>
    <n v="21746971719"/>
    <x v="8"/>
    <x v="2"/>
    <n v="1317"/>
    <n v="0"/>
    <n v="2370.6"/>
    <n v="0"/>
    <n v="0"/>
  </r>
  <r>
    <x v="4"/>
    <x v="5"/>
    <x v="13"/>
    <s v="MANAURE"/>
    <x v="2"/>
    <s v="Individual"/>
    <n v="56292206192"/>
    <x v="9"/>
    <x v="0"/>
    <n v="1344"/>
    <n v="0"/>
    <n v="1842.5"/>
    <n v="0"/>
    <n v="0"/>
  </r>
  <r>
    <x v="4"/>
    <x v="10"/>
    <x v="14"/>
    <s v="ARGELIA, PATÍA, PIENDAMÓ, TUNÍA, SOTARÁ"/>
    <x v="2"/>
    <s v="Individual"/>
    <n v="11930657218"/>
    <x v="10"/>
    <x v="0"/>
    <n v="376"/>
    <n v="0"/>
    <n v="503.84"/>
    <n v="0"/>
    <n v="0"/>
  </r>
  <r>
    <x v="4"/>
    <x v="10"/>
    <x v="15"/>
    <s v="GUAPI"/>
    <x v="2"/>
    <s v="Individual"/>
    <n v="959419512"/>
    <x v="11"/>
    <x v="0"/>
    <n v="80"/>
    <n v="0"/>
    <n v="58.08"/>
    <n v="0"/>
    <n v="0"/>
  </r>
  <r>
    <x v="4"/>
    <x v="10"/>
    <x v="16"/>
    <s v="LOPEZ DE MICAY"/>
    <x v="2"/>
    <s v="Individual"/>
    <n v="7817475406"/>
    <x v="12"/>
    <x v="0"/>
    <n v="247"/>
    <n v="0"/>
    <n v="330.98"/>
    <n v="0"/>
    <n v="0"/>
  </r>
  <r>
    <x v="4"/>
    <x v="5"/>
    <x v="17"/>
    <s v="ALBANIA"/>
    <x v="2"/>
    <s v="Individual"/>
    <n v="10294382128"/>
    <x v="9"/>
    <x v="0"/>
    <n v="395"/>
    <n v="0"/>
    <n v="323.89999999999998"/>
    <n v="0"/>
    <n v="0"/>
  </r>
  <r>
    <x v="4"/>
    <x v="11"/>
    <x v="18"/>
    <s v="LA PRIMAVERA"/>
    <x v="2"/>
    <s v="Individual"/>
    <n v="7215361382"/>
    <x v="13"/>
    <x v="1"/>
    <n v="228"/>
    <n v="0"/>
    <n v="250.8"/>
    <n v="0"/>
    <n v="0"/>
  </r>
  <r>
    <x v="5"/>
    <x v="12"/>
    <x v="19"/>
    <s v="Florencia"/>
    <x v="3"/>
    <s v="Centralizadas"/>
    <n v="7623200000"/>
    <x v="7"/>
    <x v="1"/>
    <n v="500"/>
    <n v="0"/>
    <n v="1000"/>
    <n v="0"/>
    <n v="0"/>
  </r>
  <r>
    <x v="5"/>
    <x v="13"/>
    <x v="20"/>
    <s v="Vista Hermosa (235 kWp)"/>
    <x v="3"/>
    <s v="Centralizadas"/>
    <n v="1903500000"/>
    <x v="7"/>
    <x v="1"/>
    <n v="150"/>
    <n v="0"/>
    <n v="265"/>
    <n v="0"/>
    <n v="0"/>
  </r>
  <r>
    <x v="5"/>
    <x v="13"/>
    <x v="21"/>
    <s v="La Uribe (30 kWp)"/>
    <x v="3"/>
    <s v="Centralizadas"/>
    <n v="283500000"/>
    <x v="6"/>
    <x v="0"/>
    <n v="60"/>
    <n v="0"/>
    <n v="30"/>
    <n v="0"/>
    <n v="0"/>
  </r>
  <r>
    <x v="5"/>
    <x v="13"/>
    <x v="22"/>
    <s v="Vista Hermosa (1.000 kWp)"/>
    <x v="3"/>
    <s v="Centralizadas"/>
    <n v="8245082995.6800003"/>
    <x v="14"/>
    <x v="0"/>
    <n v="500"/>
    <n v="0"/>
    <n v="2000"/>
    <n v="0"/>
    <n v="0"/>
  </r>
  <r>
    <x v="5"/>
    <x v="13"/>
    <x v="23"/>
    <s v="Arauquita (1.000 kWp)"/>
    <x v="3"/>
    <s v="Centralizadas"/>
    <n v="8245082995.6800003"/>
    <x v="7"/>
    <x v="1"/>
    <n v="500"/>
    <n v="0"/>
    <n v="1000"/>
    <n v="0"/>
    <n v="0"/>
  </r>
  <r>
    <x v="5"/>
    <x v="14"/>
    <x v="24"/>
    <s v="Agrado"/>
    <x v="3"/>
    <s v="Centralizadas"/>
    <n v="6900000000"/>
    <x v="6"/>
    <x v="0"/>
    <n v="500"/>
    <n v="0"/>
    <n v="2000"/>
    <n v="0"/>
    <n v="0"/>
  </r>
  <r>
    <x v="5"/>
    <x v="14"/>
    <x v="25"/>
    <s v="Chaparral"/>
    <x v="3"/>
    <s v="Centralizadas"/>
    <n v="6900000000"/>
    <x v="15"/>
    <x v="3"/>
    <n v="210"/>
    <n v="0"/>
    <n v="500"/>
    <n v="0"/>
    <n v="0"/>
  </r>
  <r>
    <x v="5"/>
    <x v="15"/>
    <x v="26"/>
    <s v="Beltrán"/>
    <x v="3"/>
    <s v="Centralizadas"/>
    <n v="5830684998.54"/>
    <x v="7"/>
    <x v="1"/>
    <n v="500"/>
    <n v="0"/>
    <n v="1000"/>
    <n v="0"/>
    <n v="0"/>
  </r>
  <r>
    <x v="5"/>
    <x v="16"/>
    <x v="27"/>
    <s v="Barrancabermeja"/>
    <x v="3"/>
    <s v="Centralizadas"/>
    <n v="6540000000"/>
    <x v="6"/>
    <x v="0"/>
    <n v="500"/>
    <n v="0"/>
    <n v="1000"/>
    <n v="0"/>
    <n v="0"/>
  </r>
  <r>
    <x v="5"/>
    <x v="16"/>
    <x v="28"/>
    <s v="Villa de Leyva"/>
    <x v="3"/>
    <s v="Centralizadas"/>
    <n v="6540000000"/>
    <x v="7"/>
    <x v="1"/>
    <n v="500"/>
    <n v="0"/>
    <n v="1000"/>
    <n v="0"/>
    <n v="0"/>
  </r>
  <r>
    <x v="5"/>
    <x v="16"/>
    <x v="29"/>
    <s v="Tibú"/>
    <x v="3"/>
    <s v="Centralizadas"/>
    <n v="6540000000"/>
    <x v="16"/>
    <x v="2"/>
    <n v="500"/>
    <n v="0"/>
    <n v="1000"/>
    <n v="0"/>
    <n v="0"/>
  </r>
  <r>
    <x v="5"/>
    <x v="17"/>
    <x v="30"/>
    <s v="Jagua de Ibirico (2)"/>
    <x v="3"/>
    <s v="Centralizadas"/>
    <n v="684600000"/>
    <x v="7"/>
    <x v="1"/>
    <n v="100"/>
    <n v="0"/>
    <n v="105"/>
    <n v="0"/>
    <n v="0"/>
  </r>
  <r>
    <x v="5"/>
    <x v="17"/>
    <x v="31"/>
    <s v="Riohacha"/>
    <x v="3"/>
    <s v="Centralizadas"/>
    <n v="1128000000"/>
    <x v="7"/>
    <x v="1"/>
    <n v="210"/>
    <n v="0"/>
    <n v="24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s v="Nuqui"/>
    <x v="0"/>
    <n v="79316865070"/>
    <n v="4"/>
    <n v="2036"/>
    <x v="0"/>
    <x v="0"/>
    <x v="0"/>
    <n v="200"/>
    <n v="270"/>
    <n v="320"/>
    <n v="350"/>
    <n v="370"/>
    <n v="380"/>
    <n v="400"/>
    <n v="900"/>
    <n v="1100"/>
    <n v="1450"/>
    <n v="1650"/>
    <n v="1700"/>
    <n v="1800"/>
    <n v="1900"/>
    <n v="2036"/>
  </r>
  <r>
    <x v="1"/>
    <x v="0"/>
    <s v="Bahia Solano"/>
    <x v="1"/>
    <n v="83008042889"/>
    <n v="3"/>
    <n v="2295"/>
    <x v="1"/>
    <x v="1"/>
    <x v="1"/>
    <n v="200"/>
    <n v="230"/>
    <n v="240"/>
    <n v="290"/>
    <n v="350"/>
    <n v="370"/>
    <n v="400"/>
    <n v="425"/>
    <n v="525"/>
    <n v="775"/>
    <n v="1025"/>
    <n v="1275"/>
    <n v="1875"/>
    <n v="1975"/>
    <n v="2295"/>
  </r>
  <r>
    <x v="2"/>
    <x v="1"/>
    <s v="Maicao  Y Albania"/>
    <x v="0"/>
    <n v="322709746890"/>
    <n v="11.73"/>
    <n v="10664"/>
    <x v="2"/>
    <x v="2"/>
    <x v="2"/>
    <n v="240"/>
    <n v="400"/>
    <n v="480"/>
    <n v="560"/>
    <n v="640"/>
    <n v="720"/>
    <n v="800"/>
    <n v="1050"/>
    <n v="1550"/>
    <n v="2350"/>
    <n v="3350"/>
    <n v="4600"/>
    <n v="6100"/>
    <n v="8100"/>
    <n v="10664"/>
  </r>
  <r>
    <x v="3"/>
    <x v="2"/>
    <s v="Teorama, El Carmen, Convención, Hacari, San Calixto, Tibu"/>
    <x v="2"/>
    <n v="121589085878"/>
    <n v="4.16"/>
    <n v="3783"/>
    <x v="2"/>
    <x v="2"/>
    <x v="3"/>
    <n v="0"/>
    <n v="0"/>
    <n v="0"/>
    <n v="0"/>
    <n v="150"/>
    <n v="160"/>
    <n v="160"/>
    <n v="160"/>
    <n v="160"/>
    <n v="410"/>
    <n v="660"/>
    <n v="910"/>
    <n v="1510"/>
    <n v="1610"/>
    <n v="3783"/>
  </r>
  <r>
    <x v="4"/>
    <x v="3"/>
    <s v="Ricaurte"/>
    <x v="2"/>
    <n v="27742028640"/>
    <n v="0.95"/>
    <n v="862"/>
    <x v="3"/>
    <x v="3"/>
    <x v="4"/>
    <n v="200"/>
    <n v="250"/>
    <n v="260"/>
    <n v="310"/>
    <n v="370"/>
    <n v="390"/>
    <n v="400"/>
    <n v="420"/>
    <n v="470"/>
    <n v="570"/>
    <n v="595"/>
    <n v="625"/>
    <n v="650"/>
    <n v="750"/>
    <n v="862"/>
  </r>
  <r>
    <x v="5"/>
    <x v="4"/>
    <s v="Santa Marta "/>
    <x v="2"/>
    <n v="51087244522"/>
    <n v="1.74"/>
    <n v="1581"/>
    <x v="4"/>
    <x v="4"/>
    <x v="5"/>
    <n v="200"/>
    <n v="220"/>
    <n v="230"/>
    <n v="280"/>
    <n v="340"/>
    <n v="360"/>
    <n v="400"/>
    <n v="450"/>
    <n v="550"/>
    <n v="650"/>
    <n v="700"/>
    <n v="800"/>
    <n v="1000"/>
    <n v="1100"/>
    <n v="1581"/>
  </r>
  <r>
    <x v="6"/>
    <x v="5"/>
    <s v="Bolivar, Charalá, El Peñón, Florian, La Belleza, Landazuri, Ocamonte, Simacota, Sucre, Zapatoca"/>
    <x v="2"/>
    <n v="37573918087"/>
    <n v="1.27"/>
    <n v="1158"/>
    <x v="1"/>
    <x v="1"/>
    <x v="1"/>
    <n v="200"/>
    <n v="210"/>
    <n v="220"/>
    <n v="270"/>
    <n v="330"/>
    <n v="350"/>
    <n v="400"/>
    <n v="500"/>
    <n v="550"/>
    <n v="750"/>
    <n v="900"/>
    <n v="960"/>
    <n v="980"/>
    <n v="1080"/>
    <n v="1158"/>
  </r>
  <r>
    <x v="7"/>
    <x v="5"/>
    <s v="Guaca  "/>
    <x v="2"/>
    <n v="4402514558"/>
    <n v="0.19"/>
    <n v="154"/>
    <x v="2"/>
    <x v="2"/>
    <x v="3"/>
    <n v="0"/>
    <n v="0"/>
    <n v="0"/>
    <n v="50"/>
    <n v="83"/>
    <n v="47"/>
    <n v="50"/>
    <n v="60"/>
    <n v="65"/>
    <n v="70"/>
    <n v="80"/>
    <n v="85"/>
    <n v="90"/>
    <n v="95"/>
    <n v="154"/>
  </r>
  <r>
    <x v="8"/>
    <x v="6"/>
    <s v="La Uribe"/>
    <x v="1"/>
    <n v="31420264769"/>
    <n v="1.21"/>
    <n v="1003"/>
    <x v="5"/>
    <x v="5"/>
    <x v="6"/>
    <n v="200"/>
    <n v="225"/>
    <n v="235"/>
    <n v="285"/>
    <n v="345"/>
    <n v="365"/>
    <n v="400"/>
    <n v="450"/>
    <n v="460"/>
    <n v="480"/>
    <n v="580"/>
    <n v="780"/>
    <n v="790"/>
    <n v="810"/>
    <n v="1003"/>
  </r>
  <r>
    <x v="9"/>
    <x v="7"/>
    <s v="Becerril "/>
    <x v="2"/>
    <n v="18447808737"/>
    <n v="0.76"/>
    <n v="623"/>
    <x v="5"/>
    <x v="6"/>
    <x v="7"/>
    <n v="200"/>
    <n v="250"/>
    <n v="300"/>
    <n v="350"/>
    <n v="400"/>
    <n v="430"/>
    <n v="460"/>
    <n v="500"/>
    <n v="530"/>
    <n v="560"/>
    <n v="580"/>
    <n v="600"/>
    <n v="610"/>
    <n v="623"/>
    <n v="623"/>
  </r>
  <r>
    <x v="10"/>
    <x v="7"/>
    <s v="Curumani"/>
    <x v="2"/>
    <n v="18114661005"/>
    <n v="0.76"/>
    <n v="624"/>
    <x v="2"/>
    <x v="2"/>
    <x v="3"/>
    <n v="100"/>
    <n v="120"/>
    <n v="150"/>
    <n v="200"/>
    <n v="250"/>
    <n v="270"/>
    <n v="400"/>
    <n v="410"/>
    <n v="420"/>
    <n v="430"/>
    <n v="480"/>
    <n v="580"/>
    <n v="590"/>
    <n v="610"/>
    <n v="624"/>
  </r>
  <r>
    <x v="11"/>
    <x v="1"/>
    <s v="Uribia"/>
    <x v="1"/>
    <n v="30713269905"/>
    <n v="1.2"/>
    <n v="1000"/>
    <x v="5"/>
    <x v="5"/>
    <x v="6"/>
    <n v="200"/>
    <n v="210"/>
    <n v="220"/>
    <n v="270"/>
    <n v="330"/>
    <n v="350"/>
    <n v="400"/>
    <n v="500"/>
    <n v="510"/>
    <n v="530"/>
    <n v="630"/>
    <n v="830"/>
    <n v="840"/>
    <n v="860"/>
    <n v="1000"/>
  </r>
  <r>
    <x v="12"/>
    <x v="8"/>
    <s v="San Miguel"/>
    <x v="1"/>
    <n v="6880380834"/>
    <n v="0.31"/>
    <n v="217"/>
    <x v="1"/>
    <x v="7"/>
    <x v="8"/>
    <n v="50"/>
    <n v="60"/>
    <n v="62"/>
    <n v="70"/>
    <n v="75"/>
    <n v="95"/>
    <n v="110"/>
    <n v="120"/>
    <n v="130"/>
    <n v="150"/>
    <n v="175"/>
    <n v="180"/>
    <n v="185"/>
    <n v="200"/>
    <n v="217"/>
  </r>
  <r>
    <x v="13"/>
    <x v="8"/>
    <s v="Valle Del Guamuez"/>
    <x v="1"/>
    <n v="22802905997"/>
    <n v="0.72"/>
    <n v="719"/>
    <x v="6"/>
    <x v="7"/>
    <x v="9"/>
    <n v="200"/>
    <n v="220"/>
    <n v="230"/>
    <n v="280"/>
    <n v="340"/>
    <n v="360"/>
    <n v="400"/>
    <n v="420"/>
    <n v="430"/>
    <n v="440"/>
    <n v="490"/>
    <n v="600"/>
    <n v="610"/>
    <n v="630"/>
    <n v="719"/>
  </r>
  <r>
    <x v="14"/>
    <x v="8"/>
    <s v="Villa Garzon"/>
    <x v="1"/>
    <n v="9349545113"/>
    <n v="0.42"/>
    <n v="293"/>
    <x v="6"/>
    <x v="8"/>
    <x v="10"/>
    <n v="50"/>
    <n v="60"/>
    <n v="70"/>
    <n v="80"/>
    <n v="85"/>
    <n v="90"/>
    <n v="100"/>
    <n v="110"/>
    <n v="120"/>
    <n v="130"/>
    <n v="150"/>
    <n v="160"/>
    <n v="180"/>
    <n v="185"/>
    <n v="293"/>
  </r>
  <r>
    <x v="15"/>
    <x v="8"/>
    <s v="Puerto Guzman"/>
    <x v="1"/>
    <n v="24764667070"/>
    <n v="1.1000000000000001"/>
    <n v="777"/>
    <x v="5"/>
    <x v="5"/>
    <x v="6"/>
    <n v="200"/>
    <n v="225"/>
    <n v="235"/>
    <n v="285"/>
    <n v="345"/>
    <n v="365"/>
    <n v="300"/>
    <n v="320"/>
    <n v="330"/>
    <n v="340"/>
    <n v="390"/>
    <n v="500"/>
    <n v="510"/>
    <n v="530"/>
    <n v="777"/>
  </r>
  <r>
    <x v="16"/>
    <x v="9"/>
    <s v="Cartagena Del Chaira"/>
    <x v="1"/>
    <n v="24437339433"/>
    <n v="1.52"/>
    <n v="755"/>
    <x v="7"/>
    <x v="9"/>
    <x v="11"/>
    <n v="200"/>
    <n v="220"/>
    <n v="230"/>
    <n v="280"/>
    <n v="340"/>
    <n v="360"/>
    <n v="300"/>
    <n v="310"/>
    <n v="320"/>
    <n v="330"/>
    <n v="380"/>
    <n v="490"/>
    <n v="500"/>
    <n v="520"/>
    <n v="755"/>
  </r>
  <r>
    <x v="17"/>
    <x v="10"/>
    <s v="Atlantico"/>
    <x v="3"/>
    <n v="41281267500"/>
    <n v="4.3499999999999996"/>
    <n v="2500"/>
    <x v="2"/>
    <x v="2"/>
    <x v="3"/>
    <n v="0"/>
    <n v="60"/>
    <n v="60"/>
    <n v="60"/>
    <n v="240"/>
    <n v="60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653661-EC7F-4569-8BEA-B5FED33ED60C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M4" firstHeaderRow="0" firstDataRow="1" firstDataCol="0" rowPageCount="1" colPageCount="1"/>
  <pivotFields count="25">
    <pivotField showAll="0"/>
    <pivotField showAll="0"/>
    <pivotField showAll="0"/>
    <pivotField axis="axisPage" showAll="0">
      <items count="5">
        <item x="0"/>
        <item x="2"/>
        <item x="3"/>
        <item x="1"/>
        <item t="default"/>
      </items>
    </pivotField>
    <pivotField showAll="0"/>
    <pivotField showAll="0"/>
    <pivotField numFmtId="3" showAll="0"/>
    <pivotField numFmtId="3" showAll="0">
      <items count="9">
        <item x="2"/>
        <item x="6"/>
        <item x="1"/>
        <item x="7"/>
        <item x="0"/>
        <item x="5"/>
        <item x="3"/>
        <item x="4"/>
        <item t="default"/>
      </items>
    </pivotField>
    <pivotField numFmtId="3" showAll="0">
      <items count="11">
        <item x="2"/>
        <item x="8"/>
        <item x="7"/>
        <item x="1"/>
        <item x="9"/>
        <item x="5"/>
        <item x="3"/>
        <item x="0"/>
        <item x="6"/>
        <item x="4"/>
        <item t="default"/>
      </items>
    </pivotField>
    <pivotField numFmtId="3" showAll="0">
      <items count="13">
        <item x="3"/>
        <item x="10"/>
        <item x="8"/>
        <item x="2"/>
        <item x="9"/>
        <item x="1"/>
        <item x="11"/>
        <item x="0"/>
        <item x="6"/>
        <item x="4"/>
        <item x="7"/>
        <item x="5"/>
        <item t="default"/>
      </items>
    </pivotField>
    <pivotField numFmtId="3" showAll="0"/>
    <pivotField numFmtId="3" showAll="0"/>
    <pivotField dataField="1" numFmtId="3" showAll="0"/>
    <pivotField dataField="1" numFmtId="3" showAll="0"/>
    <pivotField dataField="1" numFmtId="3" showAll="0"/>
    <pivotField dataField="1" numFmtId="3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3" hier="-1"/>
  </pageFields>
  <dataFields count="13">
    <dataField name="Suma de 30/05/2026" fld="12" baseField="0" baseItem="0" numFmtId="3"/>
    <dataField name="Suma de 04/06/2026" fld="13" baseField="0" baseItem="0" numFmtId="3"/>
    <dataField name="Suma de 09/06/2026" fld="14" baseField="0" baseItem="0" numFmtId="3"/>
    <dataField name="Suma de 14/06/2026" fld="15" baseField="0" baseItem="0" numFmtId="3"/>
    <dataField name="Suma de 20/06/2026" fld="16" baseField="0" baseItem="0"/>
    <dataField name="Suma de 25/06/2026" fld="17" baseField="0" baseItem="0"/>
    <dataField name="Suma de 30/06/2026" fld="18" baseField="0" baseItem="0"/>
    <dataField name="Suma de 05/07/2026" fld="19" baseField="0" baseItem="0"/>
    <dataField name="Suma de 10/07/2026" fld="20" baseField="0" baseItem="0"/>
    <dataField name="Suma de 15/07/2026" fld="21" baseField="0" baseItem="0"/>
    <dataField name="Suma de 20/07/2026" fld="22" baseField="0" baseItem="0"/>
    <dataField name="Suma de 25/07/2026" fld="23" baseField="0" baseItem="0"/>
    <dataField name="Suma de 30/07/2026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0FA009-7131-44B3-8837-071B0D19EDD4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4:I63" firstHeaderRow="1" firstDataRow="2" firstDataCol="3" rowPageCount="2" colPageCount="1"/>
  <pivotFields count="14">
    <pivotField axis="axisRow" compact="0" outline="0" showAll="0">
      <items count="7">
        <item x="1"/>
        <item x="0"/>
        <item x="2"/>
        <item x="3"/>
        <item x="4"/>
        <item x="5"/>
        <item t="default"/>
      </items>
    </pivotField>
    <pivotField compact="0" outline="0" showAll="0"/>
    <pivotField axis="axisRow" compact="0" outline="0" showAll="0" defaultSubtotal="0">
      <items count="32">
        <item x="0"/>
        <item x="8"/>
        <item x="1"/>
        <item x="9"/>
        <item x="7"/>
        <item x="6"/>
        <item x="11"/>
        <item x="10"/>
        <item x="2"/>
        <item x="3"/>
        <item x="4"/>
        <item x="5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compact="0" outline="0" showAll="0"/>
    <pivotField axis="axisPage" compact="0" outline="0" multipleItemSelectionAllowed="1" showAll="0">
      <items count="5">
        <item x="1"/>
        <item x="0"/>
        <item x="3"/>
        <item x="2"/>
        <item t="default"/>
      </items>
    </pivotField>
    <pivotField compact="0" outline="0" showAll="0"/>
    <pivotField dataField="1" compact="0" numFmtId="44" outline="0" showAll="0"/>
    <pivotField axis="axisRow" compact="0" numFmtId="16" outline="0" showAll="0">
      <items count="18">
        <item x="0"/>
        <item x="3"/>
        <item x="6"/>
        <item x="1"/>
        <item x="5"/>
        <item x="2"/>
        <item x="4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xis="axisPage" compact="0" outline="0" multipleItemSelectionAllowed="1" showAll="0">
      <items count="5">
        <item x="0"/>
        <item x="1"/>
        <item x="2"/>
        <item x="3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numFmtId="2" outline="0" showAll="0"/>
    <pivotField dataField="1" compact="0" numFmtId="9" outline="0" showAll="0"/>
  </pivotFields>
  <rowFields count="3">
    <field x="0"/>
    <field x="2"/>
    <field x="7"/>
  </rowFields>
  <rowItems count="58">
    <i>
      <x/>
      <x v="4"/>
      <x v="1"/>
    </i>
    <i r="2">
      <x v="5"/>
    </i>
    <i r="2">
      <x v="6"/>
    </i>
    <i t="default">
      <x/>
    </i>
    <i>
      <x v="1"/>
      <x/>
      <x/>
    </i>
    <i r="2">
      <x v="3"/>
    </i>
    <i r="2">
      <x v="5"/>
    </i>
    <i r="1">
      <x v="2"/>
      <x/>
    </i>
    <i r="2">
      <x v="3"/>
    </i>
    <i r="2">
      <x v="5"/>
    </i>
    <i r="1">
      <x v="5"/>
      <x v="5"/>
    </i>
    <i r="1">
      <x v="8"/>
      <x v="3"/>
    </i>
    <i r="2">
      <x v="5"/>
    </i>
    <i r="1">
      <x v="9"/>
      <x v="3"/>
    </i>
    <i r="2">
      <x v="5"/>
    </i>
    <i r="1">
      <x v="10"/>
      <x v="3"/>
    </i>
    <i r="2">
      <x v="5"/>
    </i>
    <i r="1">
      <x v="11"/>
      <x v="3"/>
    </i>
    <i r="2">
      <x v="5"/>
    </i>
    <i t="default">
      <x v="1"/>
    </i>
    <i>
      <x v="2"/>
      <x v="1"/>
      <x/>
    </i>
    <i r="2">
      <x v="4"/>
    </i>
    <i r="2">
      <x v="5"/>
    </i>
    <i r="1">
      <x v="3"/>
      <x v="2"/>
    </i>
    <i r="2">
      <x v="4"/>
    </i>
    <i r="2">
      <x v="5"/>
    </i>
    <i r="1">
      <x v="6"/>
      <x v="1"/>
    </i>
    <i r="2">
      <x v="5"/>
    </i>
    <i r="1">
      <x v="7"/>
      <x v="2"/>
    </i>
    <i r="2">
      <x v="4"/>
    </i>
    <i r="2">
      <x v="5"/>
    </i>
    <i t="default">
      <x v="2"/>
    </i>
    <i>
      <x v="3"/>
      <x v="12"/>
      <x/>
    </i>
    <i r="2">
      <x v="7"/>
    </i>
    <i r="2">
      <x v="8"/>
    </i>
    <i t="default">
      <x v="3"/>
    </i>
    <i>
      <x v="4"/>
      <x v="13"/>
      <x v="9"/>
    </i>
    <i r="1">
      <x v="14"/>
      <x v="10"/>
    </i>
    <i r="1">
      <x v="15"/>
      <x v="11"/>
    </i>
    <i r="1">
      <x v="16"/>
      <x v="12"/>
    </i>
    <i r="1">
      <x v="17"/>
      <x v="9"/>
    </i>
    <i r="1">
      <x v="18"/>
      <x v="13"/>
    </i>
    <i t="default">
      <x v="4"/>
    </i>
    <i>
      <x v="5"/>
      <x v="19"/>
      <x v="7"/>
    </i>
    <i r="1">
      <x v="20"/>
      <x v="7"/>
    </i>
    <i r="1">
      <x v="21"/>
      <x v="2"/>
    </i>
    <i r="1">
      <x v="22"/>
      <x v="14"/>
    </i>
    <i r="1">
      <x v="23"/>
      <x v="7"/>
    </i>
    <i r="1">
      <x v="24"/>
      <x v="2"/>
    </i>
    <i r="1">
      <x v="25"/>
      <x v="15"/>
    </i>
    <i r="1">
      <x v="26"/>
      <x v="7"/>
    </i>
    <i r="1">
      <x v="27"/>
      <x v="2"/>
    </i>
    <i r="1">
      <x v="28"/>
      <x v="7"/>
    </i>
    <i r="1">
      <x v="29"/>
      <x v="16"/>
    </i>
    <i r="1">
      <x v="30"/>
      <x v="7"/>
    </i>
    <i r="1">
      <x v="31"/>
      <x v="7"/>
    </i>
    <i t="default"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8" hier="-1"/>
    <pageField fld="4" hier="-1"/>
  </pageFields>
  <dataFields count="6">
    <dataField name="Suma de PLANEADO (USUARIOS)" fld="9" baseField="0" baseItem="0" numFmtId="3"/>
    <dataField name="Suma de EJECUTADO (USUARIOS)" fld="10" baseField="0" baseItem="0"/>
    <dataField name="Suma de CAPACIDAD (kWp) (PLANEADA)" fld="11" baseField="0" baseItem="0" numFmtId="3"/>
    <dataField name="Suma de CAPACIDAD (kWp) (EJECUTADA)" fld="12" baseField="0" baseItem="0" numFmtId="2"/>
    <dataField name="Suma de EFICIENCIA" fld="13" baseField="0" baseItem="0" numFmtId="9"/>
    <dataField name="Suma de INVERSIÓN" fld="6" baseField="0" baseItem="0" numFmtId="44"/>
  </dataFields>
  <formats count="7">
    <format dxfId="227">
      <pivotArea dataOnly="0" labelOnly="1" outline="0" fieldPosition="0">
        <references count="2">
          <reference field="0" count="1" selected="0">
            <x v="2"/>
          </reference>
          <reference field="2" count="1">
            <x v="6"/>
          </reference>
        </references>
      </pivotArea>
    </format>
    <format dxfId="226">
      <pivotArea outline="0" fieldPosition="0">
        <references count="1">
          <reference field="4294967294" count="1" selected="0">
            <x v="0"/>
          </reference>
        </references>
      </pivotArea>
    </format>
    <format dxfId="225">
      <pivotArea outline="0" fieldPosition="0">
        <references count="1">
          <reference field="4294967294" count="1" selected="0">
            <x v="2"/>
          </reference>
        </references>
      </pivotArea>
    </format>
    <format dxfId="224">
      <pivotArea field="0" type="button" dataOnly="0" labelOnly="1" outline="0" axis="axisRow" fieldPosition="0"/>
    </format>
    <format dxfId="223">
      <pivotArea field="2" type="button" dataOnly="0" labelOnly="1" outline="0" axis="axisRow" fieldPosition="1"/>
    </format>
    <format dxfId="222">
      <pivotArea field="7" type="button" dataOnly="0" labelOnly="1" outline="0" axis="axisRow" fieldPosition="2"/>
    </format>
    <format dxfId="22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895A63-BF3F-4706-A0B0-6182AA8447C9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:C20" firstHeaderRow="2" firstDataRow="2" firstDataCol="2" rowPageCount="1" colPageCount="1"/>
  <pivotFields count="25">
    <pivotField axis="axisPage" compact="0" outline="0" multipleItemSelectionAllowed="1" showAll="0">
      <items count="19">
        <item h="1" x="1"/>
        <item x="9"/>
        <item x="16"/>
        <item x="10"/>
        <item x="8"/>
        <item x="2"/>
        <item x="3"/>
        <item h="1" x="0"/>
        <item x="15"/>
        <item x="4"/>
        <item x="12"/>
        <item x="5"/>
        <item x="7"/>
        <item x="6"/>
        <item x="11"/>
        <item x="13"/>
        <item x="14"/>
        <item x="17"/>
        <item t="default"/>
      </items>
    </pivotField>
    <pivotField axis="axisRow" compact="0" outline="0" showAll="0">
      <items count="12">
        <item x="10"/>
        <item x="9"/>
        <item x="7"/>
        <item x="0"/>
        <item x="1"/>
        <item x="4"/>
        <item x="6"/>
        <item x="3"/>
        <item x="2"/>
        <item x="8"/>
        <item x="5"/>
        <item t="default"/>
      </items>
    </pivotField>
    <pivotField compact="0" outline="0" showAll="0"/>
    <pivotField axis="axisRow" compact="0" outline="0" showAll="0">
      <items count="5">
        <item x="0"/>
        <item x="2"/>
        <item x="3"/>
        <item x="1"/>
        <item t="default"/>
      </items>
    </pivotField>
    <pivotField dataField="1" compact="0" outline="0" showAll="0"/>
    <pivotField compact="0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numFmtId="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3"/>
    <field x="1"/>
  </rowFields>
  <rowItems count="16">
    <i>
      <x/>
      <x v="4"/>
    </i>
    <i t="default">
      <x/>
    </i>
    <i>
      <x v="1"/>
      <x v="2"/>
    </i>
    <i r="1">
      <x v="5"/>
    </i>
    <i r="1">
      <x v="7"/>
    </i>
    <i r="1">
      <x v="8"/>
    </i>
    <i r="1">
      <x v="10"/>
    </i>
    <i t="default">
      <x v="1"/>
    </i>
    <i>
      <x v="2"/>
      <x/>
    </i>
    <i t="default">
      <x v="2"/>
    </i>
    <i>
      <x v="3"/>
      <x v="1"/>
    </i>
    <i r="1">
      <x v="4"/>
    </i>
    <i r="1">
      <x v="6"/>
    </i>
    <i r="1">
      <x v="9"/>
    </i>
    <i t="default">
      <x v="3"/>
    </i>
    <i t="grand">
      <x/>
    </i>
  </rowItems>
  <colItems count="1">
    <i/>
  </colItems>
  <pageFields count="1">
    <pageField fld="0" hier="-1"/>
  </pageFields>
  <dataFields count="1">
    <dataField name="Suma de Inversion" fld="4" baseField="0" baseItem="0" numFmtId="167"/>
  </dataFields>
  <formats count="12">
    <format dxfId="220">
      <pivotArea outline="0" collapsedLevelsAreSubtotals="1" fieldPosition="0"/>
    </format>
    <format dxfId="219">
      <pivotArea type="topRight" dataOnly="0" labelOnly="1" outline="0" fieldPosition="0"/>
    </format>
    <format dxfId="218">
      <pivotArea type="origin" dataOnly="0" labelOnly="1" outline="0" fieldPosition="0"/>
    </format>
    <format dxfId="217">
      <pivotArea field="3" type="button" dataOnly="0" labelOnly="1" outline="0" axis="axisRow" fieldPosition="0"/>
    </format>
    <format dxfId="216">
      <pivotArea field="1" type="button" dataOnly="0" labelOnly="1" outline="0" axis="axisRow" fieldPosition="1"/>
    </format>
    <format dxfId="215">
      <pivotArea type="topRight" dataOnly="0" labelOnly="1" outline="0" fieldPosition="0"/>
    </format>
    <format dxfId="214">
      <pivotArea grandRow="1" outline="0" collapsedLevelsAreSubtotals="1" fieldPosition="0"/>
    </format>
    <format dxfId="213">
      <pivotArea dataOnly="0" labelOnly="1" grandRow="1" outline="0" fieldPosition="0"/>
    </format>
    <format dxfId="212">
      <pivotArea type="origin" dataOnly="0" labelOnly="1" outline="0" fieldPosition="0"/>
    </format>
    <format dxfId="211">
      <pivotArea field="3" type="button" dataOnly="0" labelOnly="1" outline="0" axis="axisRow" fieldPosition="0"/>
    </format>
    <format dxfId="210">
      <pivotArea field="1" type="button" dataOnly="0" labelOnly="1" outline="0" axis="axisRow" fieldPosition="1"/>
    </format>
    <format dxfId="209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8ABD2A-8762-49ED-8602-34CDF86C5992}" name="Tabla14" displayName="Tabla14" ref="A1:Y19" totalsRowShown="0" headerRowDxfId="257" dataDxfId="255" headerRowBorderDxfId="256" tableBorderDxfId="254" totalsRowBorderDxfId="253">
  <autoFilter ref="A1:Y19" xr:uid="{5A2049F7-A5D9-4CF8-A09C-725920AA430A}"/>
  <tableColumns count="25">
    <tableColumn id="1" xr3:uid="{EFC8CE6C-B9B1-4E80-8552-E74521E6CAA8}" name="Proyecto" dataDxfId="252"/>
    <tableColumn id="2" xr3:uid="{E0474F2F-37C9-40F4-93A0-0F69E0F04016}" name="Departamento" dataDxfId="251"/>
    <tableColumn id="3" xr3:uid="{01B0F004-CF5C-48CE-8C23-7CC66206A91B}" name="Municipio" dataDxfId="250"/>
    <tableColumn id="4" xr3:uid="{F19D789F-B1A4-4F50-B376-877D8E7FF1A6}" name="Operador de Red" dataDxfId="249"/>
    <tableColumn id="5" xr3:uid="{22AC3E5C-0953-4E87-B83E-214F710B43EE}" name="Inversion" dataDxfId="248"/>
    <tableColumn id="6" xr3:uid="{92A1D92D-DEB0-4373-82C2-CC925D875E6D}" name="Potencia a Instalar MWp" dataDxfId="247"/>
    <tableColumn id="7" xr3:uid="{75A6CF31-96D0-4BD2-B75D-B8B93FACCD9D}" name="Usuarios Totales" dataDxfId="246"/>
    <tableColumn id="8" xr3:uid="{55D19D91-F347-47AC-A5D1-C3A28D6E3E7B}" name="05/05/2026" dataDxfId="245"/>
    <tableColumn id="9" xr3:uid="{1BD113B9-AD18-486D-867E-9DBE530CEA6D}" name="10/05/2026" dataDxfId="244"/>
    <tableColumn id="10" xr3:uid="{4EB78B13-19A2-4D28-924E-B1EDD803C2E4}" name="15/05/2026" dataDxfId="243"/>
    <tableColumn id="11" xr3:uid="{3DB90FD1-DFAF-4FFD-9B9A-CEF9A00157D3}" name="20/05/2026" dataDxfId="242"/>
    <tableColumn id="12" xr3:uid="{18F4F9CD-350A-4AF4-B195-D27DCAC6EBC6}" name="25/05/2026" dataDxfId="241"/>
    <tableColumn id="13" xr3:uid="{AB752B4D-B818-4671-BA7E-09D06BC75E02}" name="30/05/2026" dataDxfId="240">
      <calculatedColumnFormula>+L2+10</calculatedColumnFormula>
    </tableColumn>
    <tableColumn id="14" xr3:uid="{45A8E147-A59F-4461-9F20-54CD1CCCB820}" name="04/06/2026" dataDxfId="239"/>
    <tableColumn id="15" xr3:uid="{EE1DDBFB-CF22-4EE7-9450-A861CBD8CD1E}" name="09/06/2026" dataDxfId="238"/>
    <tableColumn id="16" xr3:uid="{5584C77F-BD57-4DA7-9E2D-536C709F0786}" name="14/06/2026" dataDxfId="237">
      <calculatedColumnFormula>+O2+20</calculatedColumnFormula>
    </tableColumn>
    <tableColumn id="17" xr3:uid="{B83DBFE0-7EE7-47DC-B673-A4457B1DF41C}" name="20/06/2026" dataDxfId="236"/>
    <tableColumn id="18" xr3:uid="{A5FD9DEA-FF10-4841-9C02-FEA477E8211D}" name="25/06/2026" dataDxfId="235"/>
    <tableColumn id="19" xr3:uid="{A24B98F4-D60C-4FD0-BCDA-D5E0C4B521E4}" name="30/06/2026" dataDxfId="234">
      <calculatedColumnFormula>+R2+10</calculatedColumnFormula>
    </tableColumn>
    <tableColumn id="20" xr3:uid="{BDA4B95F-C9DA-4A2F-B6D2-F1475086D6D9}" name="05/07/2026" dataDxfId="233"/>
    <tableColumn id="21" xr3:uid="{5938FB0B-005A-4DCB-A701-BF05AABF8D54}" name="10/07/2026" dataDxfId="232"/>
    <tableColumn id="22" xr3:uid="{71007DAF-CD19-4665-8A4D-6E49F74ACA18}" name="15/07/2026" dataDxfId="231"/>
    <tableColumn id="23" xr3:uid="{E2E0E6D6-D346-4067-B89F-06279F6E28EE}" name="20/07/2026" dataDxfId="230"/>
    <tableColumn id="24" xr3:uid="{F7C8678B-A7D3-4154-8CF9-98D48BEE6B42}" name="25/07/2026" dataDxfId="229"/>
    <tableColumn id="25" xr3:uid="{57C5EF35-5672-4BF7-BF74-9A4ED8CB6E79}" name="30/07/2026" dataDxfId="2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97A987-9988-486A-B0DF-46B7A57C1FF6}" name="Tabla145" displayName="Tabla145" ref="A1:Y18" totalsRowShown="0" headerRowDxfId="208" dataDxfId="206" headerRowBorderDxfId="207" tableBorderDxfId="205" totalsRowBorderDxfId="204">
  <autoFilter ref="A1:Y18" xr:uid="{5A2049F7-A5D9-4CF8-A09C-725920AA430A}"/>
  <tableColumns count="25">
    <tableColumn id="1" xr3:uid="{35D89E5C-6D36-4EE2-A01B-754AA2C20983}" name="Proyecto" dataDxfId="203"/>
    <tableColumn id="2" xr3:uid="{0ABF5B46-587F-4ED4-B2BB-5957D9EA48B4}" name="Departamento" dataDxfId="202"/>
    <tableColumn id="3" xr3:uid="{93D10590-0C7F-4D5F-80B3-784BE1821F05}" name="Municipio" dataDxfId="201"/>
    <tableColumn id="4" xr3:uid="{DBC0A039-BCE3-4420-B881-707B7F2F978A}" name="Operador de Red" dataDxfId="200"/>
    <tableColumn id="5" xr3:uid="{95906B62-AF24-41E8-BD3D-2BC7A10890BD}" name="Inversion" dataDxfId="199"/>
    <tableColumn id="6" xr3:uid="{0DEB9D0E-8032-44D1-9E35-760EA1DB9405}" name="Potencia a Instalar MWp" dataDxfId="198"/>
    <tableColumn id="7" xr3:uid="{AEC52716-D681-410C-A32C-1AB86F437491}" name="Usuarios Totales" dataDxfId="197"/>
    <tableColumn id="8" xr3:uid="{428557DB-41F7-4D05-B03B-2B13004C62ED}" name="05/05/2026" dataDxfId="196"/>
    <tableColumn id="9" xr3:uid="{CEC52963-7C4E-4FD4-AAC8-E778578470BD}" name="10/05/2026" dataDxfId="195"/>
    <tableColumn id="10" xr3:uid="{32F69249-781B-4283-BC25-103EA10AAF85}" name="15/05/2026" dataDxfId="194"/>
    <tableColumn id="11" xr3:uid="{80223040-5FBB-4CF9-9A56-77A9A0BE8BF0}" name="20/05/2026" dataDxfId="193"/>
    <tableColumn id="12" xr3:uid="{05162099-2EA2-42E4-897A-8F07989FF6DA}" name="25/05/2026" dataDxfId="192"/>
    <tableColumn id="13" xr3:uid="{15194BBF-26CD-43E2-927D-AECA519F76A0}" name="30/05/2026" dataDxfId="191">
      <calculatedColumnFormula>+L2+10</calculatedColumnFormula>
    </tableColumn>
    <tableColumn id="14" xr3:uid="{88C0F2D1-358C-4B86-8889-6E425D4639F1}" name="04/06/2026" dataDxfId="190"/>
    <tableColumn id="15" xr3:uid="{50A04008-4F55-4BF4-84B1-17FC58C06F1B}" name="09/06/2026" dataDxfId="189"/>
    <tableColumn id="16" xr3:uid="{03EA2F3E-6F9F-4BB1-9C4D-FD519D172D6A}" name="14/06/2026" dataDxfId="188">
      <calculatedColumnFormula>+O2+20</calculatedColumnFormula>
    </tableColumn>
    <tableColumn id="17" xr3:uid="{9879E12D-3AFF-4E8D-8F7E-73FB4A5FFF76}" name="20/06/2026" dataDxfId="187"/>
    <tableColumn id="18" xr3:uid="{044535A3-EFA5-4602-8E08-B230CF34C2AA}" name="25/06/2026" dataDxfId="186"/>
    <tableColumn id="19" xr3:uid="{C61306CC-6BDB-4893-9E55-52D682C3814D}" name="30/06/2026" dataDxfId="185">
      <calculatedColumnFormula>+R2+10</calculatedColumnFormula>
    </tableColumn>
    <tableColumn id="20" xr3:uid="{3D48CD3B-3276-4884-94C2-E884B112AFEC}" name="05/07/2026" dataDxfId="184"/>
    <tableColumn id="21" xr3:uid="{E6F05BF3-A366-4CF0-AD6B-9E355778D4D0}" name="10/07/2026" dataDxfId="183"/>
    <tableColumn id="22" xr3:uid="{A50BC142-C592-439E-9197-1B86D61936AC}" name="15/07/2026" dataDxfId="182"/>
    <tableColumn id="23" xr3:uid="{7DD39CEF-FBEB-4DF6-BB86-DFD2B73B1CDD}" name="20/07/2026" dataDxfId="181"/>
    <tableColumn id="24" xr3:uid="{F4AE1AB6-2684-485C-8D84-4DF4B4AFBB08}" name="25/07/2026" dataDxfId="180"/>
    <tableColumn id="25" xr3:uid="{FCB4D0C0-93B4-458E-9BED-9405A81D90BA}" name="30/07/2026" dataDxfId="17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BB347E-F9FD-4840-9C46-5D78EAC2FBA0}" name="Tabla1" displayName="Tabla1" ref="A1:AG19" totalsRowShown="0" headerRowDxfId="178" dataDxfId="176" headerRowBorderDxfId="177" tableBorderDxfId="175" totalsRowBorderDxfId="174">
  <autoFilter ref="A1:AG19" xr:uid="{5A2049F7-A5D9-4CF8-A09C-725920AA430A}">
    <filterColumn colId="3">
      <filters>
        <filter val="GENSA"/>
      </filters>
    </filterColumn>
  </autoFilter>
  <tableColumns count="33">
    <tableColumn id="1" xr3:uid="{7F5D5FCB-DFD2-4E2B-A42F-1C77441B6324}" name="Proyecto" dataDxfId="173"/>
    <tableColumn id="2" xr3:uid="{B4F459DD-ED95-46E1-8AF2-06C682B5A919}" name="Departamento" dataDxfId="172"/>
    <tableColumn id="3" xr3:uid="{57A5F532-7257-4EE6-B9B6-414AF90D7783}" name="Municipio" dataDxfId="171"/>
    <tableColumn id="4" xr3:uid="{75A745D9-5637-4ACD-965C-D19B64A9E2D3}" name="Operador de Red" dataDxfId="170"/>
    <tableColumn id="5" xr3:uid="{F6CF2FBD-715C-43A5-9234-61E59C160185}" name="Inversion" dataDxfId="169"/>
    <tableColumn id="6" xr3:uid="{236EDFBB-C44B-4678-8359-0290F94E35B7}" name="Potencia a Instalar MWp" dataDxfId="168"/>
    <tableColumn id="7" xr3:uid="{4954368E-A8B2-4C2F-AAD2-1DC1E8C17565}" name="Usuarios Totales" dataDxfId="167"/>
    <tableColumn id="8" xr3:uid="{D6F5A9A8-63D7-43B1-851B-E4FAF3AE3F46}" name="05/05/2026" dataDxfId="166"/>
    <tableColumn id="9" xr3:uid="{332B928E-BCA1-45A6-96D4-02E01060B0C7}" name="10/05/2026" dataDxfId="165"/>
    <tableColumn id="10" xr3:uid="{7F589B9D-E769-4AD2-ADD3-32634D2D2E84}" name="15/05/2026" dataDxfId="164"/>
    <tableColumn id="11" xr3:uid="{B5B2CC39-46D1-4BF5-B62E-8634D544E933}" name="20/05/2026" dataDxfId="163"/>
    <tableColumn id="12" xr3:uid="{23B98875-75C7-48C5-9B9E-1A26998D6A04}" name="25/05/2026" dataDxfId="162"/>
    <tableColumn id="13" xr3:uid="{7BB532AE-69CF-4359-9C0D-CC142FC67A30}" name="30/05/2026" dataDxfId="161">
      <calculatedColumnFormula>+L2+10</calculatedColumnFormula>
    </tableColumn>
    <tableColumn id="14" xr3:uid="{EF5B4B15-580C-4B32-9B97-FA49FC3BA84B}" name="04/06/2026" dataDxfId="160"/>
    <tableColumn id="15" xr3:uid="{6A8FF05E-AD42-4EC3-8B6B-7ABA59ED4CC4}" name="09/06/2026" dataDxfId="159"/>
    <tableColumn id="16" xr3:uid="{2358E6AE-2C1F-452A-89A5-E51BC45CE914}" name="14/06/2026" dataDxfId="158">
      <calculatedColumnFormula>+O2+20</calculatedColumnFormula>
    </tableColumn>
    <tableColumn id="17" xr3:uid="{4A54233F-A8EF-4CD0-98DD-F111195B32BB}" name="20/06/2026" dataDxfId="157"/>
    <tableColumn id="18" xr3:uid="{C516984E-D3E3-4139-881E-510F51968D3F}" name="25/06/2026" dataDxfId="156"/>
    <tableColumn id="19" xr3:uid="{AF223BD1-8C37-4D4A-B1CD-F871244720B6}" name="30/06/2026" dataDxfId="155">
      <calculatedColumnFormula>+R2+10</calculatedColumnFormula>
    </tableColumn>
    <tableColumn id="20" xr3:uid="{351B745B-ACCB-4F6F-BF29-F17F1EB37233}" name="05/07/2026" dataDxfId="154"/>
    <tableColumn id="21" xr3:uid="{BCE93C47-FBF3-4E35-8FE1-DD3F55B10A8F}" name="10/07/2026" dataDxfId="153"/>
    <tableColumn id="22" xr3:uid="{0216FBA9-854A-4520-88C3-08F356E04187}" name="15/07/2026" dataDxfId="152"/>
    <tableColumn id="23" xr3:uid="{C01C26D0-4DA2-4C92-A9D6-0A742720A7DB}" name="20/07/2026" dataDxfId="151"/>
    <tableColumn id="24" xr3:uid="{5DF28297-34AA-426C-A192-C32D0384C9F8}" name="25/07/2026" dataDxfId="150"/>
    <tableColumn id="25" xr3:uid="{ED3341C0-EFCA-431B-A178-BA79AD7CD798}" name="30/07/2026" dataDxfId="149"/>
    <tableColumn id="26" xr3:uid="{634407B1-292C-4FFE-86BE-3EF3C3DE0EE5}" name="05/08/2026" dataDxfId="148"/>
    <tableColumn id="27" xr3:uid="{96E9B60B-F3EF-49D0-BFBB-5F7C13B69FE6}" name="10/08/2026" dataDxfId="147"/>
    <tableColumn id="28" xr3:uid="{626226F9-EEED-4EB4-8977-59909268636A}" name="15/08/2026" dataDxfId="146"/>
    <tableColumn id="29" xr3:uid="{8984347D-1B51-40CE-9DC0-F8E7F2434D77}" name="20/08/2026" dataDxfId="145"/>
    <tableColumn id="30" xr3:uid="{683D41AE-73E7-4729-953D-560A0463486A}" name="25/08/2026" dataDxfId="144"/>
    <tableColumn id="31" xr3:uid="{74514B38-9C85-429F-8B1F-B90165A3C31B}" name="30/08/2026" dataDxfId="143"/>
    <tableColumn id="32" xr3:uid="{B2108458-F0BC-4BD6-9BFF-8E9D1D6B1EF5}" name="5/09/2026" dataDxfId="142"/>
    <tableColumn id="33" xr3:uid="{562C7C66-F97B-4CD5-8C99-D7F5220E5EDB}" name="10/09/2026" dataDxfId="14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67111C-FE93-46F6-8822-4C89ABB5008D}" name="Tabla1456" displayName="Tabla1456" ref="A1:AG19" totalsRowShown="0" headerRowDxfId="140" dataDxfId="138" headerRowBorderDxfId="139" tableBorderDxfId="137" totalsRowBorderDxfId="136">
  <autoFilter ref="A1:AG19" xr:uid="{5A2049F7-A5D9-4CF8-A09C-725920AA430A}"/>
  <tableColumns count="33">
    <tableColumn id="1" xr3:uid="{DF87CE99-B424-4EE2-89F9-C8A54E331DFB}" name="Proyecto" dataDxfId="135"/>
    <tableColumn id="2" xr3:uid="{F73E958D-A53B-445D-9405-EEE0BCA93C4E}" name="Departamento" dataDxfId="134"/>
    <tableColumn id="3" xr3:uid="{7D87D853-7B0D-4807-B695-F0D6A43A0AA7}" name="Municipio" dataDxfId="133"/>
    <tableColumn id="4" xr3:uid="{3F57B337-35ED-436C-BB82-559571D58938}" name="Operador de Red" dataDxfId="132"/>
    <tableColumn id="5" xr3:uid="{B7ED1F77-DFAE-4B1C-96E9-02D1D8D35F44}" name="Inversion" dataDxfId="131"/>
    <tableColumn id="6" xr3:uid="{833DEFC4-F3A9-4AD0-B2BB-16E0DB859322}" name="Potencia a Instalar MWp" dataDxfId="130"/>
    <tableColumn id="7" xr3:uid="{ED5CE256-3F5D-4125-869A-2DA960064DFF}" name="Usuarios Totales" dataDxfId="129"/>
    <tableColumn id="8" xr3:uid="{F056F1EE-3904-48CE-9A7C-E5E963BF2EED}" name="05/05/2026" dataDxfId="128">
      <calculatedColumnFormula>IFERROR($F2*'Proyectado Usuarios'!H2/$G2,0)</calculatedColumnFormula>
    </tableColumn>
    <tableColumn id="9" xr3:uid="{D1CFE8DB-51B6-4DB6-AAD8-AF12962FF96B}" name="10/05/2026"/>
    <tableColumn id="10" xr3:uid="{3FC34875-9F01-4175-8562-EEBEE478DE46}" name="15/05/2026"/>
    <tableColumn id="11" xr3:uid="{A160344A-CBB0-4D7F-8465-DEE4A7B6ED98}" name="20/05/2026"/>
    <tableColumn id="12" xr3:uid="{055BC040-A24B-40E2-9AFF-11DDACE3036C}" name="25/05/2026"/>
    <tableColumn id="13" xr3:uid="{A0C48593-8FC6-438E-9A20-825663C2A8E7}" name="30/05/2026"/>
    <tableColumn id="14" xr3:uid="{FE5D2259-DF13-4669-A90B-EC88F025A53C}" name="04/06/2026"/>
    <tableColumn id="15" xr3:uid="{96E06591-699A-479E-88B1-8E66DBFF80DA}" name="09/06/2026"/>
    <tableColumn id="16" xr3:uid="{00C98576-D811-4166-9CC4-1E41FDA92268}" name="14/06/2026"/>
    <tableColumn id="17" xr3:uid="{35E48110-E7A1-42A9-AA5E-3E13F5B5089E}" name="20/06/2026"/>
    <tableColumn id="18" xr3:uid="{C81BDC3A-0B4D-4BBF-8F5C-1AE21E08F416}" name="25/06/2026"/>
    <tableColumn id="19" xr3:uid="{1B92738F-BCC0-4FC6-B167-16D97FA9A96A}" name="30/06/2026"/>
    <tableColumn id="20" xr3:uid="{3010D0B9-95A2-4F77-958C-D1DF164B1A0E}" name="05/07/2026"/>
    <tableColumn id="21" xr3:uid="{E02F1D44-8B12-46FD-93D3-37716AB42D97}" name="10/07/2026"/>
    <tableColumn id="22" xr3:uid="{277F3497-6C3D-4DA6-92B7-5CBE5B2DD51E}" name="15/07/2026"/>
    <tableColumn id="23" xr3:uid="{CAD20823-E999-4E27-8E86-75A2234F38D5}" name="20/07/2026"/>
    <tableColumn id="24" xr3:uid="{D4603A56-4EF8-4900-99C6-69EA874401CC}" name="25/07/2026"/>
    <tableColumn id="25" xr3:uid="{D893B8C2-C4C8-4B97-A6AD-02C24D72A514}" name="30/07/2026"/>
    <tableColumn id="26" xr3:uid="{43D1BC33-24DB-49AC-9B00-0F6148BB41BC}" name="05/08/2026" dataDxfId="127"/>
    <tableColumn id="27" xr3:uid="{54C6A57F-7D72-478D-9425-8C65F12FA7B2}" name="10/08/2026" dataDxfId="126"/>
    <tableColumn id="28" xr3:uid="{65C29902-7FF1-403D-AB9E-ED98E04ACC65}" name="15/08/2026" dataDxfId="125"/>
    <tableColumn id="29" xr3:uid="{F830941B-1886-441E-A21A-9AE298C46246}" name="20/08/2026" dataDxfId="124"/>
    <tableColumn id="30" xr3:uid="{06FECE73-16AA-4CBB-B931-E6C2A81512A6}" name="25/08/2026" dataDxfId="123"/>
    <tableColumn id="31" xr3:uid="{45A60985-BDA0-46C6-A751-DAF3D52B6B06}" name="30/08/2026" dataDxfId="122"/>
    <tableColumn id="32" xr3:uid="{E5481001-8D1A-466D-8A50-EBA5A258EC16}" name="5/09/2026" dataDxfId="121"/>
    <tableColumn id="33" xr3:uid="{D5C0B0A0-BF9A-402D-86BA-8A95694EB64F}" name="10/09/2026" dataDxfId="12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4525F7-5E42-43EB-A484-44007B6FD933}" name="Tabla2" displayName="Tabla2" ref="A1:Y18" totalsRowShown="0" headerRowDxfId="83" dataDxfId="82" tableBorderDxfId="81">
  <autoFilter ref="A1:Y18" xr:uid="{3C36689C-069D-49C4-A35A-F64F2D3B87D6}"/>
  <tableColumns count="25">
    <tableColumn id="1" xr3:uid="{065B542D-49BA-4299-87FD-45591F2BCC41}" name="Proyecto" dataDxfId="80"/>
    <tableColumn id="2" xr3:uid="{3AC75321-7CEE-410B-8C95-E1027D8720AD}" name="Departamento" dataDxfId="79"/>
    <tableColumn id="3" xr3:uid="{9F3C5304-BAC9-44CC-BABA-658373885A4C}" name="Municipio" dataDxfId="78"/>
    <tableColumn id="4" xr3:uid="{78AB8C5A-1F9A-48F1-8392-86A5488C3086}" name="Operador de Red" dataDxfId="77"/>
    <tableColumn id="5" xr3:uid="{CEFC8B14-84EC-45CF-86CE-DEAB287F3361}" name="Inversion" dataDxfId="76"/>
    <tableColumn id="6" xr3:uid="{065C570C-9DCB-4CFF-96E0-C506D24E2783}" name="Potencia a Instalar MWp" dataDxfId="75"/>
    <tableColumn id="7" xr3:uid="{1C9FC6A0-CAB7-4B91-8AC9-E2A5169B3ACE}" name="Usuarios Totales" dataDxfId="74"/>
    <tableColumn id="8" xr3:uid="{2EA60EFE-ABC5-47F3-A0DE-607171AEF581}" name="05/05/2026" dataDxfId="73"/>
    <tableColumn id="9" xr3:uid="{D837EEB8-0E28-4D9E-8D33-455298D22AD9}" name="10/05/2026" dataDxfId="72"/>
    <tableColumn id="10" xr3:uid="{392B62E3-09AA-4A1D-BFF2-A8AB242E2BAA}" name="15/05/2026" dataDxfId="71"/>
    <tableColumn id="11" xr3:uid="{5DC74ECB-5E34-4706-A5D0-76DEB1C58857}" name="20/05/2026" dataDxfId="70"/>
    <tableColumn id="12" xr3:uid="{62CC1894-357E-4924-88FF-8FEE13BB1F75}" name="25/05/2026" dataDxfId="69"/>
    <tableColumn id="13" xr3:uid="{18AD7026-E60F-4EB8-B855-C46DF387A4D6}" name="30/05/2026" dataDxfId="68"/>
    <tableColumn id="14" xr3:uid="{F8C4322C-2429-4644-99AF-E1891A44BCD5}" name="04/06/2026" dataDxfId="67"/>
    <tableColumn id="15" xr3:uid="{864D8F15-A26C-4B0D-B1DA-9682B3152D3B}" name="09/06/2026" dataDxfId="66"/>
    <tableColumn id="16" xr3:uid="{2621E8A9-12DF-4DC6-A9CE-F80083CFEC71}" name="14/06/2026" dataDxfId="65"/>
    <tableColumn id="17" xr3:uid="{D6AD0A36-3C71-48D4-AD5E-E9DDFF24C716}" name="20/06/2026" dataDxfId="64"/>
    <tableColumn id="18" xr3:uid="{AAB24FAB-8ABB-4076-B564-E36387A36CF4}" name="25/06/2026" dataDxfId="63"/>
    <tableColumn id="19" xr3:uid="{3234D010-64B1-4D65-ABB2-C150D8050355}" name="30/06/2026" dataDxfId="62"/>
    <tableColumn id="20" xr3:uid="{73FDFC62-AF3D-4755-87B0-1F45F5452CA4}" name="05/07/2026" dataDxfId="61"/>
    <tableColumn id="21" xr3:uid="{D7C61B08-44FA-4B41-A116-6812A98354F7}" name="10/07/2026" dataDxfId="60"/>
    <tableColumn id="22" xr3:uid="{75C06DB0-66AB-4F7C-8543-564836B17FA4}" name="15/07/2026" dataDxfId="59"/>
    <tableColumn id="23" xr3:uid="{09ACDFE6-F10A-4D61-8891-1FEE8E959259}" name="20/07/2026" dataDxfId="58"/>
    <tableColumn id="24" xr3:uid="{670FCB7F-5430-442C-962A-B64AB75AB109}" name="25/07/2026" dataDxfId="57"/>
    <tableColumn id="25" xr3:uid="{04C9EBA3-E3D4-453A-BFD8-85D7B52A376B}" name="30/07/2026" dataDxfId="5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F87259-1DF2-466B-BA8F-4B35379890F5}" name="Tabla27" displayName="Tabla27" ref="A1:Y18" totalsRowShown="0" headerRowDxfId="55" dataDxfId="54" tableBorderDxfId="53">
  <autoFilter ref="A1:Y18" xr:uid="{3C36689C-069D-49C4-A35A-F64F2D3B87D6}">
    <filterColumn colId="3">
      <filters>
        <filter val="ELECTROCAQUETA"/>
      </filters>
    </filterColumn>
  </autoFilter>
  <tableColumns count="25">
    <tableColumn id="1" xr3:uid="{F98FB998-42F0-4440-8692-A8AEB0892D96}" name="Proyecto" dataDxfId="52"/>
    <tableColumn id="2" xr3:uid="{DB3BF206-88E0-4BD8-9E3E-02518841CD43}" name="Departamento" dataDxfId="51"/>
    <tableColumn id="3" xr3:uid="{766EEBCD-ADF0-457A-8CC1-381A7904B152}" name="Municipio" dataDxfId="50"/>
    <tableColumn id="4" xr3:uid="{43F41FC3-215B-4E5E-8E94-60575F8D90D7}" name="Operador de Red" dataDxfId="49"/>
    <tableColumn id="5" xr3:uid="{9B509619-5FBF-459D-AFC4-B83D44ADDBAE}" name="Inversion" dataDxfId="48"/>
    <tableColumn id="6" xr3:uid="{A3A5DB60-7ABE-4D03-967E-6F8BD0BD4AF1}" name="Potencia a Instalar MWp" dataDxfId="47"/>
    <tableColumn id="7" xr3:uid="{DD3FA54C-7608-49BC-B828-05AB805D21AC}" name="Usuarios Totales" dataDxfId="46"/>
    <tableColumn id="8" xr3:uid="{A133C099-1AF5-418C-AD85-F6540895C51C}" name="05/05/2026" dataDxfId="45"/>
    <tableColumn id="9" xr3:uid="{149E1AAB-EE50-40F9-8E1B-32E72FA3B2AD}" name="10/05/2026" dataDxfId="44"/>
    <tableColumn id="10" xr3:uid="{4CC3A3BF-9367-4176-ADEE-548E4FE1404C}" name="15/05/2026" dataDxfId="43"/>
    <tableColumn id="11" xr3:uid="{281E5E38-4598-4651-88B3-AD6214F906A0}" name="20/05/2026" dataDxfId="42"/>
    <tableColumn id="12" xr3:uid="{A7CFAEAB-8FCE-429F-92A6-A0F5793B348D}" name="25/05/2026" dataDxfId="41"/>
    <tableColumn id="13" xr3:uid="{B63CB79C-F8E8-4883-A9C0-17F7705665AC}" name="30/05/2026" dataDxfId="40"/>
    <tableColumn id="14" xr3:uid="{5FF5AEBA-9B86-4FFB-80E9-35EE07EC46A1}" name="04/06/2026" dataDxfId="39"/>
    <tableColumn id="15" xr3:uid="{09039626-717F-4302-968A-AB006EC70896}" name="09/06/2026" dataDxfId="38"/>
    <tableColumn id="16" xr3:uid="{D7F3A60F-A4F8-48AE-9C34-EDD4F09E7C67}" name="14/06/2026" dataDxfId="37"/>
    <tableColumn id="17" xr3:uid="{09734555-CFFC-459F-8A8F-091357CBF878}" name="20/06/2026" dataDxfId="36"/>
    <tableColumn id="18" xr3:uid="{0BDDCF6D-FDF7-4179-9983-6B19166DA6CE}" name="25/06/2026" dataDxfId="35"/>
    <tableColumn id="19" xr3:uid="{1C2175D2-1FE9-476C-AE4C-A71660FF169A}" name="30/06/2026" dataDxfId="34"/>
    <tableColumn id="20" xr3:uid="{224B6D77-CB23-416C-8E8E-62C5050C9E42}" name="05/07/2026" dataDxfId="33"/>
    <tableColumn id="21" xr3:uid="{24E0D0FD-6B4E-42E6-B4E2-0A93541B752A}" name="10/07/2026" dataDxfId="32"/>
    <tableColumn id="22" xr3:uid="{32CF9C37-A8F8-4BF8-8499-E03CD7F68BF3}" name="15/07/2026" dataDxfId="31"/>
    <tableColumn id="23" xr3:uid="{C29126F9-5E4D-476D-A4E2-15DF73609E72}" name="20/07/2026" dataDxfId="30"/>
    <tableColumn id="24" xr3:uid="{15E9F87A-6CFC-435D-A41C-4ED3822134E2}" name="25/07/2026" dataDxfId="29"/>
    <tableColumn id="25" xr3:uid="{0EC66451-2093-4526-8A5F-6289E163F6E3}" name="30/07/2026" dataDxfId="2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698F9F7-F933-4AEF-9709-A73D01E21E1A}" name="Tabla278" displayName="Tabla278" ref="A1:AG19" totalsRowShown="0" headerRowDxfId="119" dataDxfId="118" tableBorderDxfId="117">
  <autoFilter ref="A1:AG19" xr:uid="{3C36689C-069D-49C4-A35A-F64F2D3B87D6}">
    <filterColumn colId="3">
      <filters>
        <filter val="ELECTROCAQUETA"/>
      </filters>
    </filterColumn>
  </autoFilter>
  <tableColumns count="33">
    <tableColumn id="1" xr3:uid="{38991DDD-5DE6-44F5-9AF4-17C5F946B5BB}" name="Proyecto" dataDxfId="116"/>
    <tableColumn id="2" xr3:uid="{DA528542-0E6D-4BAD-9673-E3A58591091C}" name="Departamento" dataDxfId="115"/>
    <tableColumn id="3" xr3:uid="{A15811E4-6438-426C-9703-025AAE68489D}" name="Municipio" dataDxfId="114"/>
    <tableColumn id="4" xr3:uid="{650AAA90-83A2-4220-8277-C86FD9411434}" name="Operador de Red" dataDxfId="113"/>
    <tableColumn id="5" xr3:uid="{4AFA207B-6435-4CBA-BFC9-C3724496C778}" name="Inversion" dataDxfId="112" dataCellStyle="Moneda"/>
    <tableColumn id="6" xr3:uid="{8FAED99C-8795-4426-A3DA-566306BCA062}" name="Potencia a Instalar MWp" dataDxfId="111"/>
    <tableColumn id="7" xr3:uid="{4582C75B-82DA-4483-972A-4C0A9BD69E02}" name="Usuarios Totales" dataDxfId="110"/>
    <tableColumn id="8" xr3:uid="{45F79FE7-AFDE-4B92-AF55-7EF2A951F79F}" name="05/05/2026" dataDxfId="109"/>
    <tableColumn id="9" xr3:uid="{13BE5AB8-215D-4600-8A68-01B90F99AA6C}" name="10/05/2026" dataDxfId="108"/>
    <tableColumn id="10" xr3:uid="{77258C3F-92BA-4999-B6F3-C28C782F5940}" name="15/05/2026" dataDxfId="107"/>
    <tableColumn id="11" xr3:uid="{0CEF8576-7450-49EF-AF8F-79007F856183}" name="20/05/2026" dataDxfId="106"/>
    <tableColumn id="12" xr3:uid="{1B672C10-B5DC-43E3-B835-F038CF406932}" name="25/05/2026" dataDxfId="105"/>
    <tableColumn id="13" xr3:uid="{96CC3C8D-8DA7-45B5-9C83-DFD44763BFE8}" name="30/05/2026" dataDxfId="104"/>
    <tableColumn id="14" xr3:uid="{D9B23F8A-B536-40D6-B012-1D1ABBDB7FCD}" name="04/06/2026" dataDxfId="103"/>
    <tableColumn id="15" xr3:uid="{3A74D58D-24C0-4992-AD16-786B80F75DB8}" name="09/06/2026" dataDxfId="102"/>
    <tableColumn id="16" xr3:uid="{F184D7FA-9CA5-4E6B-A3BE-F061F14DC029}" name="14/06/2026" dataDxfId="101"/>
    <tableColumn id="17" xr3:uid="{E283450C-3F50-4F95-A537-B3AB07E1D332}" name="20/06/2026" dataDxfId="100"/>
    <tableColumn id="18" xr3:uid="{4F6336B5-A77A-439E-A3D5-E1D255F28C4F}" name="25/06/2026" dataDxfId="99"/>
    <tableColumn id="19" xr3:uid="{7EB4D134-1BC3-4215-97E2-94CA08663383}" name="30/06/2026" dataDxfId="98"/>
    <tableColumn id="20" xr3:uid="{675874DD-72A6-4371-869B-899E236E77EC}" name="05/07/2026" dataDxfId="97"/>
    <tableColumn id="21" xr3:uid="{01E6342D-4E59-4C79-90E2-AE814543E76A}" name="10/07/2026" dataDxfId="96"/>
    <tableColumn id="22" xr3:uid="{9087CED0-DC7B-44A0-8E46-095451513102}" name="15/07/2026" dataDxfId="95"/>
    <tableColumn id="23" xr3:uid="{EE4E1D25-A962-440A-B4EB-C9C466A1B30C}" name="20/07/2026" dataDxfId="94"/>
    <tableColumn id="24" xr3:uid="{8F4273D5-EFBC-4E63-A6D1-8458A5799AA7}" name="25/07/2026" dataDxfId="93"/>
    <tableColumn id="25" xr3:uid="{977DB453-1F77-4B45-BB4B-76AF4D33EA13}" name="30/07/2026" dataDxfId="92"/>
    <tableColumn id="26" xr3:uid="{F31CE93A-F060-4CBC-9796-4AF20AF0C8F9}" name="05/08/2026" dataDxfId="91"/>
    <tableColumn id="27" xr3:uid="{D621507D-F452-479C-9911-508ACA2F793D}" name="10/08/2026" dataDxfId="90"/>
    <tableColumn id="28" xr3:uid="{2DB1AAE8-DA3D-4542-AD5F-29257E14442A}" name="15/08/2026" dataDxfId="89"/>
    <tableColumn id="29" xr3:uid="{E2DD4912-575A-481A-88EF-399FA1E0D7FE}" name="20/08/2026" dataDxfId="88"/>
    <tableColumn id="30" xr3:uid="{5437EE7B-59DB-4637-AEB7-B2C79B73514B}" name="25/08/2026" dataDxfId="87"/>
    <tableColumn id="31" xr3:uid="{4A000C5E-B76C-4287-B8CF-3E4EB846B910}" name="30/08/2026" dataDxfId="86"/>
    <tableColumn id="32" xr3:uid="{99917DEF-961D-4A84-B9FD-66BDA643B49A}" name="5/09/2026" dataDxfId="85"/>
    <tableColumn id="33" xr3:uid="{438083C1-1F5A-4082-AEE5-E4F41804EF75}" name="10/09/2026" dataDxfId="8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2B4A5EF-1BAC-43BB-B243-1D8321B4D437}" name="Tabla2789" displayName="Tabla2789" ref="A1:Y18" totalsRowShown="0" headerRowDxfId="27" dataDxfId="26" tableBorderDxfId="25">
  <autoFilter ref="A1:Y18" xr:uid="{3C36689C-069D-49C4-A35A-F64F2D3B87D6}"/>
  <tableColumns count="25">
    <tableColumn id="1" xr3:uid="{21D9942C-8611-4B76-BECF-8D7C8B45E317}" name="Proyecto" dataDxfId="24"/>
    <tableColumn id="2" xr3:uid="{4BC2DD3A-9B00-4229-A029-B5ADA8E58AFB}" name="Departamento" dataDxfId="23"/>
    <tableColumn id="3" xr3:uid="{ABB32574-77A9-4EBA-9EF0-42378085B638}" name="Municipio" dataDxfId="22"/>
    <tableColumn id="4" xr3:uid="{8AC7F5B4-311F-4B03-B66B-EED120E1F07A}" name="Operador de Red" dataDxfId="21"/>
    <tableColumn id="5" xr3:uid="{F9F29BA3-73A8-4CC5-B208-4CBF9055D3E2}" name="Inversion" dataDxfId="20"/>
    <tableColumn id="6" xr3:uid="{59D5C5C9-755B-4176-8802-27618493C915}" name="Potencia a Instalar MWp" dataDxfId="19"/>
    <tableColumn id="7" xr3:uid="{1602444F-3F67-438C-A039-49C866B68444}" name="Usuarios Totales" dataDxfId="18"/>
    <tableColumn id="8" xr3:uid="{2D39E70B-D1FD-43A0-9494-5296E4C81120}" name="05/05/2026" dataDxfId="17"/>
    <tableColumn id="9" xr3:uid="{5CB0085B-2B41-4DEB-813E-1695CE3B0B08}" name="10/05/2026" dataDxfId="16"/>
    <tableColumn id="10" xr3:uid="{F9A10240-A99D-4E93-9601-1F15678A57E5}" name="15/05/2026" dataDxfId="15"/>
    <tableColumn id="11" xr3:uid="{D9277A03-799C-4890-B75E-FDB6B3E14E03}" name="20/05/2026" dataDxfId="14"/>
    <tableColumn id="12" xr3:uid="{92C27F0F-F43D-4283-A40A-10D438AE5C29}" name="25/05/2026" dataDxfId="13"/>
    <tableColumn id="13" xr3:uid="{C142B860-EF8F-458E-B22F-E2D845605877}" name="30/05/2026" dataDxfId="12"/>
    <tableColumn id="14" xr3:uid="{2824FF43-EDE4-4765-B65D-E49B3A68D167}" name="04/06/2026" dataDxfId="11"/>
    <tableColumn id="15" xr3:uid="{0E9F543D-E8A6-4CEA-AD49-103394AE8E1E}" name="09/06/2026" dataDxfId="10"/>
    <tableColumn id="16" xr3:uid="{BA77994D-8AF8-42A7-B6DD-D10CB2B8C144}" name="14/06/2026" dataDxfId="9"/>
    <tableColumn id="17" xr3:uid="{A426CC2E-761C-412E-ACAA-CDC6E54ED2BA}" name="20/06/2026" dataDxfId="8"/>
    <tableColumn id="18" xr3:uid="{3F4ACEA4-BC99-4EB2-8BB4-A6EB8D8DDF17}" name="25/06/2026" dataDxfId="7"/>
    <tableColumn id="19" xr3:uid="{83077C71-C85D-4D6F-96BA-D5BB279EE3BB}" name="30/06/2026" dataDxfId="6"/>
    <tableColumn id="20" xr3:uid="{BB25B6CA-7412-4535-8635-F038E0E21631}" name="05/07/2026" dataDxfId="5"/>
    <tableColumn id="21" xr3:uid="{31737E7B-5443-4E7C-93D8-DF0FA64BC5D3}" name="10/07/2026" dataDxfId="4"/>
    <tableColumn id="22" xr3:uid="{E8AE6ADD-B20E-4339-B2C9-F9620FDC0542}" name="15/07/2026" dataDxfId="3"/>
    <tableColumn id="23" xr3:uid="{88A3B864-110C-42E9-BA87-6FE970DD0229}" name="20/07/2026" dataDxfId="2"/>
    <tableColumn id="24" xr3:uid="{8145BF36-13B5-46A4-A196-99B9459E9BD6}" name="25/07/2026" dataDxfId="1"/>
    <tableColumn id="25" xr3:uid="{326E3DA2-269C-46A4-AAFE-D9DDDDC5C3CA}" name="30/07/202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E5F04-D975-4B77-A372-E28CB747EBC5}">
  <dimension ref="A1:N20"/>
  <sheetViews>
    <sheetView workbookViewId="0">
      <selection activeCell="J20" sqref="J20"/>
    </sheetView>
  </sheetViews>
  <sheetFormatPr baseColWidth="10" defaultColWidth="11.3984375" defaultRowHeight="14.25"/>
  <cols>
    <col min="2" max="2" width="20" bestFit="1" customWidth="1"/>
    <col min="3" max="3" width="29.265625" bestFit="1" customWidth="1"/>
    <col min="4" max="4" width="18.3984375" bestFit="1" customWidth="1"/>
    <col min="7" max="8" width="18.3984375" customWidth="1"/>
    <col min="9" max="9" width="15.73046875" customWidth="1"/>
    <col min="10" max="10" width="20" customWidth="1"/>
    <col min="11" max="11" width="17" bestFit="1" customWidth="1"/>
    <col min="12" max="12" width="5.59765625" bestFit="1" customWidth="1"/>
  </cols>
  <sheetData>
    <row r="1" spans="1:14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8" t="s">
        <v>11</v>
      </c>
      <c r="M1" s="29"/>
    </row>
    <row r="2" spans="1:14">
      <c r="A2" s="30">
        <v>1</v>
      </c>
      <c r="B2" s="31" t="s">
        <v>12</v>
      </c>
      <c r="C2" s="31" t="s">
        <v>12</v>
      </c>
      <c r="D2" s="32">
        <v>53908378733</v>
      </c>
      <c r="E2" s="33">
        <v>23</v>
      </c>
      <c r="F2" s="33">
        <v>1367</v>
      </c>
      <c r="G2" s="33">
        <v>2.02</v>
      </c>
      <c r="H2" s="33">
        <v>2020</v>
      </c>
      <c r="I2" s="46">
        <v>46295</v>
      </c>
      <c r="J2" s="31" t="s">
        <v>13</v>
      </c>
      <c r="K2" s="31" t="s">
        <v>14</v>
      </c>
      <c r="L2" s="34" t="s">
        <v>15</v>
      </c>
      <c r="N2">
        <f>G2*1000</f>
        <v>2020</v>
      </c>
    </row>
    <row r="3" spans="1:14">
      <c r="A3" s="30">
        <v>2</v>
      </c>
      <c r="B3" s="31" t="s">
        <v>16</v>
      </c>
      <c r="C3" s="31" t="s">
        <v>17</v>
      </c>
      <c r="D3" s="32">
        <v>24437339433</v>
      </c>
      <c r="E3" s="33">
        <v>69</v>
      </c>
      <c r="F3" s="33">
        <v>755</v>
      </c>
      <c r="G3" s="33">
        <v>1.52</v>
      </c>
      <c r="H3" s="33">
        <v>1520</v>
      </c>
      <c r="I3" s="46">
        <v>46223</v>
      </c>
      <c r="J3" s="31" t="s">
        <v>18</v>
      </c>
      <c r="K3" s="31" t="s">
        <v>19</v>
      </c>
      <c r="L3" s="34" t="s">
        <v>15</v>
      </c>
      <c r="N3">
        <f t="shared" ref="N3:N19" si="0">G3*1000</f>
        <v>1520</v>
      </c>
    </row>
    <row r="4" spans="1:14">
      <c r="A4" s="30">
        <v>3</v>
      </c>
      <c r="B4" s="31" t="s">
        <v>20</v>
      </c>
      <c r="C4" s="31" t="s">
        <v>21</v>
      </c>
      <c r="D4" s="32">
        <v>18447808737</v>
      </c>
      <c r="E4" s="33">
        <v>57</v>
      </c>
      <c r="F4" s="33">
        <v>623</v>
      </c>
      <c r="G4" s="33">
        <v>0.76</v>
      </c>
      <c r="H4" s="33">
        <v>760</v>
      </c>
      <c r="I4" s="46">
        <v>46162</v>
      </c>
      <c r="J4" s="31" t="s">
        <v>22</v>
      </c>
      <c r="K4" s="31" t="s">
        <v>23</v>
      </c>
      <c r="L4" s="34" t="s">
        <v>15</v>
      </c>
      <c r="N4">
        <f t="shared" si="0"/>
        <v>760</v>
      </c>
    </row>
    <row r="5" spans="1:14">
      <c r="A5" s="30">
        <v>4</v>
      </c>
      <c r="B5" s="31" t="s">
        <v>20</v>
      </c>
      <c r="C5" s="31" t="s">
        <v>24</v>
      </c>
      <c r="D5" s="32">
        <v>18114661005</v>
      </c>
      <c r="E5" s="33">
        <v>57</v>
      </c>
      <c r="F5" s="33">
        <v>624</v>
      </c>
      <c r="G5" s="33">
        <v>0.76</v>
      </c>
      <c r="H5" s="33">
        <v>760</v>
      </c>
      <c r="I5" s="46">
        <v>46162</v>
      </c>
      <c r="J5" s="31" t="s">
        <v>22</v>
      </c>
      <c r="K5" s="31" t="s">
        <v>23</v>
      </c>
      <c r="L5" s="34" t="s">
        <v>15</v>
      </c>
      <c r="N5">
        <f t="shared" si="0"/>
        <v>760</v>
      </c>
    </row>
    <row r="6" spans="1:14">
      <c r="A6" s="30">
        <v>5</v>
      </c>
      <c r="B6" s="31" t="s">
        <v>25</v>
      </c>
      <c r="C6" s="31" t="s">
        <v>26</v>
      </c>
      <c r="D6" s="32">
        <v>79316865070</v>
      </c>
      <c r="E6" s="33">
        <v>34</v>
      </c>
      <c r="F6" s="33">
        <v>2036</v>
      </c>
      <c r="G6" s="33">
        <v>4</v>
      </c>
      <c r="H6" s="33">
        <v>4000</v>
      </c>
      <c r="I6" s="46">
        <v>46234</v>
      </c>
      <c r="J6" s="31" t="s">
        <v>27</v>
      </c>
      <c r="K6" s="31" t="s">
        <v>14</v>
      </c>
      <c r="L6" s="34" t="s">
        <v>15</v>
      </c>
      <c r="N6">
        <f t="shared" si="0"/>
        <v>4000</v>
      </c>
    </row>
    <row r="7" spans="1:14">
      <c r="A7" s="30">
        <v>6</v>
      </c>
      <c r="B7" s="31" t="s">
        <v>25</v>
      </c>
      <c r="C7" s="31" t="s">
        <v>28</v>
      </c>
      <c r="D7" s="32">
        <v>83008042889</v>
      </c>
      <c r="E7" s="33">
        <v>38</v>
      </c>
      <c r="F7" s="33">
        <v>2295</v>
      </c>
      <c r="G7" s="33">
        <v>3</v>
      </c>
      <c r="H7" s="33">
        <v>3000</v>
      </c>
      <c r="I7" s="46">
        <v>46223</v>
      </c>
      <c r="J7" s="31" t="s">
        <v>18</v>
      </c>
      <c r="K7" s="31" t="s">
        <v>14</v>
      </c>
      <c r="L7" s="34" t="s">
        <v>15</v>
      </c>
      <c r="N7">
        <f t="shared" si="0"/>
        <v>3000</v>
      </c>
    </row>
    <row r="8" spans="1:14">
      <c r="A8" s="30">
        <v>7</v>
      </c>
      <c r="B8" s="31" t="s">
        <v>29</v>
      </c>
      <c r="C8" s="31" t="s">
        <v>30</v>
      </c>
      <c r="D8" s="32">
        <v>322709746890</v>
      </c>
      <c r="E8" s="33">
        <v>969</v>
      </c>
      <c r="F8" s="33">
        <v>10664</v>
      </c>
      <c r="G8" s="33">
        <v>11.73</v>
      </c>
      <c r="H8" s="33">
        <v>11730</v>
      </c>
      <c r="I8" s="46">
        <v>46234</v>
      </c>
      <c r="J8" s="31" t="s">
        <v>27</v>
      </c>
      <c r="K8" s="31" t="s">
        <v>19</v>
      </c>
      <c r="L8" s="34" t="s">
        <v>15</v>
      </c>
      <c r="N8">
        <f t="shared" si="0"/>
        <v>11730</v>
      </c>
    </row>
    <row r="9" spans="1:14">
      <c r="A9" s="30">
        <v>8</v>
      </c>
      <c r="B9" s="31" t="s">
        <v>29</v>
      </c>
      <c r="C9" s="31" t="s">
        <v>31</v>
      </c>
      <c r="D9" s="32">
        <v>30713269905</v>
      </c>
      <c r="E9" s="33">
        <v>91</v>
      </c>
      <c r="F9" s="33">
        <v>1000</v>
      </c>
      <c r="G9" s="33">
        <v>1.2</v>
      </c>
      <c r="H9" s="33">
        <v>1200</v>
      </c>
      <c r="I9" s="46">
        <v>46223</v>
      </c>
      <c r="J9" s="31" t="s">
        <v>18</v>
      </c>
      <c r="K9" s="31" t="s">
        <v>19</v>
      </c>
      <c r="L9" s="34" t="s">
        <v>15</v>
      </c>
      <c r="N9">
        <f t="shared" si="0"/>
        <v>1200</v>
      </c>
    </row>
    <row r="10" spans="1:14">
      <c r="A10" s="30">
        <v>9</v>
      </c>
      <c r="B10" s="31" t="s">
        <v>32</v>
      </c>
      <c r="C10" s="31" t="s">
        <v>33</v>
      </c>
      <c r="D10" s="32">
        <v>51087244522</v>
      </c>
      <c r="E10" s="33">
        <v>144</v>
      </c>
      <c r="F10" s="33">
        <v>1581</v>
      </c>
      <c r="G10" s="33">
        <v>1.74</v>
      </c>
      <c r="H10" s="33">
        <v>1740</v>
      </c>
      <c r="I10" s="46">
        <v>46193</v>
      </c>
      <c r="J10" s="31" t="s">
        <v>22</v>
      </c>
      <c r="K10" s="31" t="s">
        <v>19</v>
      </c>
      <c r="L10" s="34" t="s">
        <v>15</v>
      </c>
      <c r="N10">
        <f t="shared" si="0"/>
        <v>1740</v>
      </c>
    </row>
    <row r="11" spans="1:14">
      <c r="A11" s="30">
        <v>10</v>
      </c>
      <c r="B11" s="31" t="s">
        <v>34</v>
      </c>
      <c r="C11" s="31" t="s">
        <v>35</v>
      </c>
      <c r="D11" s="32">
        <v>31420264769</v>
      </c>
      <c r="E11" s="33">
        <v>91</v>
      </c>
      <c r="F11" s="33">
        <v>1003</v>
      </c>
      <c r="G11" s="33">
        <v>1.21</v>
      </c>
      <c r="H11" s="33">
        <v>1210</v>
      </c>
      <c r="I11" s="46">
        <v>46223</v>
      </c>
      <c r="J11" s="31" t="s">
        <v>18</v>
      </c>
      <c r="K11" s="31" t="s">
        <v>19</v>
      </c>
      <c r="L11" s="34" t="s">
        <v>15</v>
      </c>
      <c r="N11">
        <f t="shared" si="0"/>
        <v>1210</v>
      </c>
    </row>
    <row r="12" spans="1:14">
      <c r="A12" s="30">
        <v>11</v>
      </c>
      <c r="B12" s="31" t="s">
        <v>36</v>
      </c>
      <c r="C12" s="31" t="s">
        <v>37</v>
      </c>
      <c r="D12" s="32">
        <v>27742028640</v>
      </c>
      <c r="E12" s="33">
        <v>78</v>
      </c>
      <c r="F12" s="33">
        <v>862</v>
      </c>
      <c r="G12" s="33">
        <v>0.95</v>
      </c>
      <c r="H12" s="33">
        <v>950</v>
      </c>
      <c r="I12" s="46">
        <v>46193</v>
      </c>
      <c r="J12" s="31" t="s">
        <v>22</v>
      </c>
      <c r="K12" s="31" t="s">
        <v>19</v>
      </c>
      <c r="L12" s="34" t="s">
        <v>15</v>
      </c>
      <c r="N12">
        <f t="shared" si="0"/>
        <v>950</v>
      </c>
    </row>
    <row r="13" spans="1:14" ht="85.5">
      <c r="A13" s="30">
        <v>12</v>
      </c>
      <c r="B13" s="35" t="s">
        <v>38</v>
      </c>
      <c r="C13" s="36" t="s">
        <v>39</v>
      </c>
      <c r="D13" s="32">
        <v>121589085878</v>
      </c>
      <c r="E13" s="33">
        <v>344</v>
      </c>
      <c r="F13" s="33">
        <v>3783</v>
      </c>
      <c r="G13" s="33">
        <v>4.16</v>
      </c>
      <c r="H13" s="33">
        <v>4160</v>
      </c>
      <c r="I13" s="46">
        <v>46193</v>
      </c>
      <c r="J13" s="31" t="s">
        <v>22</v>
      </c>
      <c r="K13" s="31" t="s">
        <v>19</v>
      </c>
      <c r="L13" s="34" t="s">
        <v>15</v>
      </c>
      <c r="N13">
        <f t="shared" si="0"/>
        <v>4160</v>
      </c>
    </row>
    <row r="14" spans="1:14">
      <c r="A14" s="30">
        <v>13</v>
      </c>
      <c r="B14" s="31" t="s">
        <v>40</v>
      </c>
      <c r="C14" s="31" t="s">
        <v>41</v>
      </c>
      <c r="D14" s="32">
        <v>6880380834</v>
      </c>
      <c r="E14" s="33">
        <v>20</v>
      </c>
      <c r="F14" s="33">
        <v>217</v>
      </c>
      <c r="G14" s="33">
        <v>0.31</v>
      </c>
      <c r="H14" s="33">
        <v>310</v>
      </c>
      <c r="I14" s="46">
        <v>46223</v>
      </c>
      <c r="J14" s="31" t="s">
        <v>18</v>
      </c>
      <c r="K14" s="31" t="s">
        <v>19</v>
      </c>
      <c r="L14" s="34" t="s">
        <v>15</v>
      </c>
      <c r="N14">
        <f t="shared" si="0"/>
        <v>310</v>
      </c>
    </row>
    <row r="15" spans="1:14">
      <c r="A15" s="30">
        <v>14</v>
      </c>
      <c r="B15" s="31" t="s">
        <v>40</v>
      </c>
      <c r="C15" s="31" t="s">
        <v>42</v>
      </c>
      <c r="D15" s="32">
        <v>22802905997</v>
      </c>
      <c r="E15" s="33">
        <v>65</v>
      </c>
      <c r="F15" s="33">
        <v>719</v>
      </c>
      <c r="G15" s="33">
        <v>0.72</v>
      </c>
      <c r="H15" s="33">
        <v>720</v>
      </c>
      <c r="I15" s="46">
        <v>46223</v>
      </c>
      <c r="J15" s="31" t="s">
        <v>18</v>
      </c>
      <c r="K15" s="31" t="s">
        <v>19</v>
      </c>
      <c r="L15" s="34" t="s">
        <v>15</v>
      </c>
      <c r="N15">
        <f t="shared" si="0"/>
        <v>720</v>
      </c>
    </row>
    <row r="16" spans="1:14">
      <c r="A16" s="30">
        <v>15</v>
      </c>
      <c r="B16" s="31" t="s">
        <v>40</v>
      </c>
      <c r="C16" s="31" t="s">
        <v>43</v>
      </c>
      <c r="D16" s="32">
        <v>9349545113</v>
      </c>
      <c r="E16" s="33">
        <v>27</v>
      </c>
      <c r="F16" s="33">
        <v>293</v>
      </c>
      <c r="G16" s="33">
        <v>0.42</v>
      </c>
      <c r="H16" s="33">
        <v>420</v>
      </c>
      <c r="I16" s="46">
        <v>46223</v>
      </c>
      <c r="J16" s="31" t="s">
        <v>18</v>
      </c>
      <c r="K16" s="31" t="s">
        <v>19</v>
      </c>
      <c r="L16" s="34" t="s">
        <v>15</v>
      </c>
      <c r="N16">
        <f t="shared" si="0"/>
        <v>420</v>
      </c>
    </row>
    <row r="17" spans="1:14">
      <c r="A17" s="30">
        <v>16</v>
      </c>
      <c r="B17" s="31" t="s">
        <v>40</v>
      </c>
      <c r="C17" s="31" t="s">
        <v>44</v>
      </c>
      <c r="D17" s="32">
        <v>24764667070</v>
      </c>
      <c r="E17" s="33">
        <v>71</v>
      </c>
      <c r="F17" s="33">
        <v>777</v>
      </c>
      <c r="G17" s="33">
        <v>1.1000000000000001</v>
      </c>
      <c r="H17" s="33">
        <v>1100</v>
      </c>
      <c r="I17" s="46">
        <v>46223</v>
      </c>
      <c r="J17" s="31" t="s">
        <v>18</v>
      </c>
      <c r="K17" s="31" t="s">
        <v>19</v>
      </c>
      <c r="L17" s="34" t="s">
        <v>15</v>
      </c>
      <c r="N17">
        <f t="shared" si="0"/>
        <v>1100</v>
      </c>
    </row>
    <row r="18" spans="1:14" ht="42.75">
      <c r="A18" s="30">
        <v>17</v>
      </c>
      <c r="B18" s="31" t="s">
        <v>45</v>
      </c>
      <c r="C18" s="37" t="s">
        <v>46</v>
      </c>
      <c r="D18" s="32">
        <v>37573918087</v>
      </c>
      <c r="E18" s="33">
        <v>105</v>
      </c>
      <c r="F18" s="33">
        <v>1158</v>
      </c>
      <c r="G18" s="33">
        <v>1.27</v>
      </c>
      <c r="H18" s="33">
        <v>1270</v>
      </c>
      <c r="I18" s="46">
        <v>46193</v>
      </c>
      <c r="J18" s="31" t="s">
        <v>22</v>
      </c>
      <c r="K18" s="31" t="s">
        <v>19</v>
      </c>
      <c r="L18" s="34" t="s">
        <v>15</v>
      </c>
      <c r="N18">
        <f t="shared" si="0"/>
        <v>1270</v>
      </c>
    </row>
    <row r="19" spans="1:14" ht="14.65" thickBot="1">
      <c r="A19" s="30">
        <v>18</v>
      </c>
      <c r="B19" s="38" t="s">
        <v>45</v>
      </c>
      <c r="C19" s="38" t="s">
        <v>47</v>
      </c>
      <c r="D19" s="39">
        <v>4402514558</v>
      </c>
      <c r="E19" s="40">
        <v>14</v>
      </c>
      <c r="F19" s="40">
        <v>154</v>
      </c>
      <c r="G19" s="40">
        <v>0.19</v>
      </c>
      <c r="H19" s="40">
        <v>190</v>
      </c>
      <c r="I19" s="46">
        <v>46193</v>
      </c>
      <c r="J19" s="38" t="s">
        <v>22</v>
      </c>
      <c r="K19" s="38" t="s">
        <v>19</v>
      </c>
      <c r="L19" s="41" t="s">
        <v>15</v>
      </c>
      <c r="N19">
        <f t="shared" si="0"/>
        <v>190</v>
      </c>
    </row>
    <row r="20" spans="1:14" ht="14.65" thickBot="1">
      <c r="A20" s="211" t="s">
        <v>48</v>
      </c>
      <c r="B20" s="212"/>
      <c r="C20" s="212"/>
      <c r="D20" s="42">
        <f>+SUM(D2:D19)</f>
        <v>968268668130</v>
      </c>
      <c r="E20" s="43">
        <f>+SUM(E2:E19)</f>
        <v>2297</v>
      </c>
      <c r="F20" s="43">
        <f>+SUM(F2:F19)</f>
        <v>29911</v>
      </c>
      <c r="G20" s="43">
        <f>+SUM(G2:G19)</f>
        <v>37.06</v>
      </c>
      <c r="H20" s="43">
        <f>SUM(H2:H19)</f>
        <v>37060</v>
      </c>
      <c r="I20" s="43"/>
      <c r="J20" s="44"/>
      <c r="K20" s="44"/>
      <c r="L20" s="45"/>
    </row>
  </sheetData>
  <autoFilter ref="A1:M20" xr:uid="{00000000-0009-0000-0000-000000000000}"/>
  <mergeCells count="1">
    <mergeCell ref="A20:C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0C4CF-D1A2-4AD3-9FC1-13E4439A2AF3}">
  <dimension ref="C1:AA213"/>
  <sheetViews>
    <sheetView topLeftCell="A41" zoomScale="73" zoomScaleNormal="70" workbookViewId="0">
      <selection activeCell="AE150" sqref="AE150"/>
    </sheetView>
  </sheetViews>
  <sheetFormatPr baseColWidth="10" defaultColWidth="11.3984375" defaultRowHeight="14.25"/>
  <cols>
    <col min="1" max="1" width="8.73046875" customWidth="1"/>
    <col min="2" max="2" width="6.73046875" customWidth="1"/>
    <col min="4" max="4" width="11.1328125" style="1" customWidth="1"/>
    <col min="5" max="5" width="13.86328125" customWidth="1"/>
    <col min="6" max="6" width="13.265625" customWidth="1"/>
    <col min="7" max="7" width="17.59765625" customWidth="1"/>
    <col min="10" max="10" width="13.73046875" bestFit="1" customWidth="1"/>
    <col min="11" max="11" width="12.73046875" customWidth="1"/>
    <col min="12" max="12" width="12" customWidth="1"/>
    <col min="13" max="13" width="13.3984375" customWidth="1"/>
    <col min="14" max="14" width="4.3984375" customWidth="1"/>
    <col min="15" max="15" width="4" customWidth="1"/>
    <col min="18" max="18" width="13.3984375" bestFit="1" customWidth="1"/>
  </cols>
  <sheetData>
    <row r="1" spans="3:26">
      <c r="J1" t="s">
        <v>49</v>
      </c>
      <c r="K1">
        <v>760</v>
      </c>
    </row>
    <row r="2" spans="3:26">
      <c r="C2" s="213" t="s">
        <v>50</v>
      </c>
      <c r="D2" s="213"/>
      <c r="E2" s="165" t="s">
        <v>51</v>
      </c>
      <c r="J2" t="s">
        <v>52</v>
      </c>
      <c r="K2">
        <v>623</v>
      </c>
      <c r="L2">
        <f>5*30</f>
        <v>150</v>
      </c>
      <c r="P2" s="213" t="s">
        <v>50</v>
      </c>
      <c r="Q2" s="213"/>
      <c r="R2" s="165" t="s">
        <v>53</v>
      </c>
    </row>
    <row r="3" spans="3:26">
      <c r="C3" s="213" t="s">
        <v>54</v>
      </c>
      <c r="D3" s="213"/>
      <c r="E3" s="165" t="s">
        <v>55</v>
      </c>
      <c r="P3" s="213" t="s">
        <v>54</v>
      </c>
      <c r="Q3" s="213"/>
      <c r="R3" s="165" t="s">
        <v>56</v>
      </c>
    </row>
    <row r="4" spans="3:26">
      <c r="C4" s="213" t="s">
        <v>57</v>
      </c>
      <c r="D4" s="213"/>
      <c r="E4" s="165">
        <v>8785</v>
      </c>
      <c r="P4" s="213" t="s">
        <v>57</v>
      </c>
      <c r="Q4" s="213"/>
      <c r="R4" s="165">
        <v>10664</v>
      </c>
    </row>
    <row r="5" spans="3:26">
      <c r="C5" s="214"/>
      <c r="D5" s="214"/>
    </row>
    <row r="7" spans="3:26" s="4" customFormat="1" ht="40.5" customHeight="1">
      <c r="C7" s="159" t="s">
        <v>58</v>
      </c>
      <c r="D7" s="159" t="s">
        <v>59</v>
      </c>
      <c r="E7" s="159" t="s">
        <v>60</v>
      </c>
      <c r="F7" s="159" t="s">
        <v>61</v>
      </c>
      <c r="G7" s="159" t="s">
        <v>62</v>
      </c>
      <c r="H7" s="159" t="s">
        <v>63</v>
      </c>
      <c r="I7" s="159" t="s">
        <v>64</v>
      </c>
      <c r="J7" s="159" t="s">
        <v>65</v>
      </c>
      <c r="K7" s="159" t="s">
        <v>66</v>
      </c>
      <c r="L7" s="159" t="s">
        <v>67</v>
      </c>
      <c r="M7" s="159" t="s">
        <v>68</v>
      </c>
      <c r="P7" s="159" t="s">
        <v>58</v>
      </c>
      <c r="Q7" s="159" t="s">
        <v>59</v>
      </c>
      <c r="R7" s="159" t="s">
        <v>60</v>
      </c>
      <c r="S7" s="159" t="s">
        <v>61</v>
      </c>
      <c r="T7" s="159" t="s">
        <v>62</v>
      </c>
      <c r="U7" s="159" t="s">
        <v>63</v>
      </c>
      <c r="V7" s="159" t="s">
        <v>64</v>
      </c>
      <c r="W7" s="159" t="s">
        <v>65</v>
      </c>
      <c r="X7" s="159" t="s">
        <v>66</v>
      </c>
      <c r="Y7" s="159" t="s">
        <v>67</v>
      </c>
      <c r="Z7" s="159" t="s">
        <v>68</v>
      </c>
    </row>
    <row r="8" spans="3:26">
      <c r="C8" s="3">
        <v>46117</v>
      </c>
      <c r="D8" s="1">
        <v>0</v>
      </c>
      <c r="E8" s="1">
        <v>0</v>
      </c>
      <c r="F8" s="1">
        <v>0</v>
      </c>
      <c r="G8" s="1">
        <v>0</v>
      </c>
      <c r="H8" s="1"/>
      <c r="I8" s="1"/>
      <c r="J8" s="1"/>
      <c r="K8" s="1"/>
      <c r="L8" s="1">
        <v>0</v>
      </c>
      <c r="M8" s="1">
        <f>L8</f>
        <v>0</v>
      </c>
      <c r="P8" s="3">
        <v>46117</v>
      </c>
      <c r="Q8" s="1">
        <v>0</v>
      </c>
      <c r="R8" s="1">
        <v>0</v>
      </c>
      <c r="S8" s="1">
        <v>0</v>
      </c>
      <c r="T8" s="1">
        <v>0</v>
      </c>
      <c r="U8" s="1"/>
      <c r="V8" s="1"/>
      <c r="W8" s="1"/>
      <c r="X8" s="1"/>
      <c r="Y8" s="1">
        <v>0</v>
      </c>
      <c r="Z8" s="1">
        <f>Y8</f>
        <v>0</v>
      </c>
    </row>
    <row r="9" spans="3:26">
      <c r="C9" s="3">
        <v>46122</v>
      </c>
      <c r="D9" s="1">
        <v>0</v>
      </c>
      <c r="E9" s="1">
        <v>0</v>
      </c>
      <c r="F9" s="1">
        <v>0</v>
      </c>
      <c r="G9" s="1">
        <v>0</v>
      </c>
      <c r="H9" s="1"/>
      <c r="I9" s="1"/>
      <c r="J9" s="1"/>
      <c r="K9" s="1"/>
      <c r="L9" s="1">
        <v>0</v>
      </c>
      <c r="M9" s="1">
        <f>M8+L9</f>
        <v>0</v>
      </c>
      <c r="P9" s="3">
        <v>46122</v>
      </c>
      <c r="Q9" s="1">
        <v>0</v>
      </c>
      <c r="R9" s="1">
        <v>0</v>
      </c>
      <c r="S9" s="1">
        <v>0</v>
      </c>
      <c r="T9" s="1">
        <v>0</v>
      </c>
      <c r="U9" s="1"/>
      <c r="V9" s="1"/>
      <c r="W9" s="1"/>
      <c r="X9" s="1"/>
      <c r="Y9" s="1">
        <v>0</v>
      </c>
      <c r="Z9" s="1">
        <f>Z8+Y9</f>
        <v>0</v>
      </c>
    </row>
    <row r="10" spans="3:26">
      <c r="C10" s="3">
        <v>46127</v>
      </c>
      <c r="D10" s="1">
        <v>0</v>
      </c>
      <c r="E10" s="1">
        <v>0</v>
      </c>
      <c r="F10" s="1">
        <v>0</v>
      </c>
      <c r="G10" s="1">
        <v>0</v>
      </c>
      <c r="H10" s="1"/>
      <c r="I10" s="1"/>
      <c r="J10" s="1"/>
      <c r="K10" s="1"/>
      <c r="L10" s="1">
        <v>0</v>
      </c>
      <c r="M10" s="1">
        <f t="shared" ref="M10:M22" si="0">M9+L10</f>
        <v>0</v>
      </c>
      <c r="P10" s="3">
        <v>46127</v>
      </c>
      <c r="Q10" s="1">
        <v>0</v>
      </c>
      <c r="R10" s="1">
        <v>0</v>
      </c>
      <c r="S10" s="1">
        <v>0</v>
      </c>
      <c r="T10" s="1">
        <v>0</v>
      </c>
      <c r="U10" s="1"/>
      <c r="V10" s="1"/>
      <c r="W10" s="1"/>
      <c r="X10" s="1"/>
      <c r="Y10" s="1">
        <v>0</v>
      </c>
      <c r="Z10" s="1">
        <f t="shared" ref="Z10:Z23" si="1">Z9+Y10</f>
        <v>0</v>
      </c>
    </row>
    <row r="11" spans="3:26">
      <c r="C11" s="3">
        <v>46132</v>
      </c>
      <c r="D11" s="1">
        <v>0</v>
      </c>
      <c r="E11" s="1">
        <v>0</v>
      </c>
      <c r="F11" s="1">
        <v>0</v>
      </c>
      <c r="G11" s="1">
        <v>0</v>
      </c>
      <c r="H11" s="1"/>
      <c r="I11" s="1"/>
      <c r="J11" s="1"/>
      <c r="K11" s="1"/>
      <c r="L11" s="1">
        <v>0</v>
      </c>
      <c r="M11" s="1">
        <f t="shared" si="0"/>
        <v>0</v>
      </c>
      <c r="P11" s="3">
        <v>46132</v>
      </c>
      <c r="Q11" s="1">
        <v>0</v>
      </c>
      <c r="R11" s="1">
        <v>0</v>
      </c>
      <c r="S11" s="1">
        <v>0</v>
      </c>
      <c r="T11" s="1">
        <v>0</v>
      </c>
      <c r="U11" s="1"/>
      <c r="V11" s="1"/>
      <c r="W11" s="1"/>
      <c r="X11" s="1"/>
      <c r="Y11" s="1">
        <v>0</v>
      </c>
      <c r="Z11" s="1">
        <f t="shared" si="1"/>
        <v>0</v>
      </c>
    </row>
    <row r="12" spans="3:26">
      <c r="C12" s="3">
        <v>46137</v>
      </c>
      <c r="D12" s="1">
        <v>0</v>
      </c>
      <c r="E12" s="1">
        <v>0</v>
      </c>
      <c r="F12" s="1">
        <v>0</v>
      </c>
      <c r="G12" s="1">
        <v>0</v>
      </c>
      <c r="H12" s="1"/>
      <c r="I12" s="1"/>
      <c r="J12" s="1"/>
      <c r="K12" s="1"/>
      <c r="L12" s="1">
        <v>0</v>
      </c>
      <c r="M12" s="1">
        <f t="shared" si="0"/>
        <v>0</v>
      </c>
      <c r="P12" s="3">
        <v>46137</v>
      </c>
      <c r="Q12" s="1">
        <v>0</v>
      </c>
      <c r="R12" s="1">
        <v>0</v>
      </c>
      <c r="S12" s="1">
        <v>0</v>
      </c>
      <c r="T12" s="1">
        <v>0</v>
      </c>
      <c r="U12" s="1"/>
      <c r="V12" s="1"/>
      <c r="W12" s="1"/>
      <c r="X12" s="1"/>
      <c r="Y12" s="1">
        <v>0</v>
      </c>
      <c r="Z12" s="1">
        <f t="shared" si="1"/>
        <v>0</v>
      </c>
    </row>
    <row r="13" spans="3:26">
      <c r="C13" s="3">
        <v>46142</v>
      </c>
      <c r="D13" s="1">
        <v>0</v>
      </c>
      <c r="E13" s="1">
        <v>0</v>
      </c>
      <c r="F13" s="1">
        <v>0</v>
      </c>
      <c r="G13" s="1">
        <v>0</v>
      </c>
      <c r="H13" s="1"/>
      <c r="I13" s="1"/>
      <c r="J13" s="1"/>
      <c r="K13" s="1"/>
      <c r="L13" s="1">
        <v>0</v>
      </c>
      <c r="M13" s="1">
        <f t="shared" si="0"/>
        <v>0</v>
      </c>
      <c r="P13" s="3">
        <v>46142</v>
      </c>
      <c r="Q13" s="1">
        <v>0</v>
      </c>
      <c r="R13" s="1">
        <v>0</v>
      </c>
      <c r="S13" s="1">
        <v>0</v>
      </c>
      <c r="T13" s="1">
        <v>0</v>
      </c>
      <c r="U13" s="1"/>
      <c r="V13" s="1"/>
      <c r="W13" s="1"/>
      <c r="X13" s="1"/>
      <c r="Y13" s="1">
        <v>0</v>
      </c>
      <c r="Z13" s="1">
        <f t="shared" si="1"/>
        <v>0</v>
      </c>
    </row>
    <row r="14" spans="3:26">
      <c r="C14" s="3">
        <v>46147</v>
      </c>
      <c r="D14" s="1">
        <v>0</v>
      </c>
      <c r="E14" s="164">
        <v>250</v>
      </c>
      <c r="F14" s="1">
        <f>D14</f>
        <v>0</v>
      </c>
      <c r="G14" s="1">
        <f>E14</f>
        <v>250</v>
      </c>
      <c r="H14" s="1">
        <f>$K$1/$K$2*D14</f>
        <v>0</v>
      </c>
      <c r="I14" s="1">
        <f>$K$1/$K$2*E14</f>
        <v>304.97592295345106</v>
      </c>
      <c r="J14" s="1">
        <f>H14</f>
        <v>0</v>
      </c>
      <c r="K14" s="1">
        <f>I14</f>
        <v>304.97592295345106</v>
      </c>
      <c r="L14" s="1">
        <v>0</v>
      </c>
      <c r="M14" s="1">
        <f t="shared" si="0"/>
        <v>0</v>
      </c>
      <c r="P14" s="3">
        <v>46147</v>
      </c>
      <c r="Q14" s="1">
        <v>0</v>
      </c>
      <c r="R14" s="1">
        <v>0</v>
      </c>
      <c r="S14" s="1">
        <f>Q14</f>
        <v>0</v>
      </c>
      <c r="T14" s="1">
        <f>R14</f>
        <v>0</v>
      </c>
      <c r="U14" s="1">
        <f>$K$1/$K$2*Q14</f>
        <v>0</v>
      </c>
      <c r="V14" s="1">
        <f>$K$1/$K$2*R14</f>
        <v>0</v>
      </c>
      <c r="W14" s="1">
        <f>U14</f>
        <v>0</v>
      </c>
      <c r="X14" s="1">
        <f>V14</f>
        <v>0</v>
      </c>
      <c r="Y14" s="1">
        <v>0</v>
      </c>
      <c r="Z14" s="1">
        <f t="shared" si="1"/>
        <v>0</v>
      </c>
    </row>
    <row r="15" spans="3:26">
      <c r="C15" s="3">
        <v>46152</v>
      </c>
      <c r="D15" s="1">
        <v>0</v>
      </c>
      <c r="E15" s="164">
        <v>135</v>
      </c>
      <c r="F15" s="1">
        <f>F14+D15</f>
        <v>0</v>
      </c>
      <c r="G15" s="1">
        <f>G14+E15</f>
        <v>385</v>
      </c>
      <c r="H15" s="1">
        <f t="shared" ref="H15:I27" si="2">$K$1/$K$2*D15</f>
        <v>0</v>
      </c>
      <c r="I15" s="1">
        <f t="shared" si="2"/>
        <v>164.68699839486356</v>
      </c>
      <c r="J15" s="1">
        <f>J14+H15</f>
        <v>0</v>
      </c>
      <c r="K15" s="1">
        <f>K14+I15</f>
        <v>469.66292134831463</v>
      </c>
      <c r="L15" s="1">
        <v>55</v>
      </c>
      <c r="M15" s="1">
        <f t="shared" si="0"/>
        <v>55</v>
      </c>
      <c r="P15" s="3">
        <v>46152</v>
      </c>
      <c r="Q15" s="1">
        <v>0</v>
      </c>
      <c r="R15" s="1">
        <v>0</v>
      </c>
      <c r="S15" s="1">
        <f>S14+Q15</f>
        <v>0</v>
      </c>
      <c r="T15" s="1">
        <f>T14+R15</f>
        <v>0</v>
      </c>
      <c r="U15" s="1">
        <f t="shared" ref="U15:U27" si="3">$K$1/$K$2*Q15</f>
        <v>0</v>
      </c>
      <c r="V15" s="1">
        <f t="shared" ref="V15:V25" si="4">$K$1/$K$2*R15</f>
        <v>0</v>
      </c>
      <c r="W15" s="1">
        <f>W14+U15</f>
        <v>0</v>
      </c>
      <c r="X15" s="1">
        <f>X14+V15</f>
        <v>0</v>
      </c>
      <c r="Y15" s="1">
        <v>0</v>
      </c>
      <c r="Z15" s="1">
        <f t="shared" si="1"/>
        <v>0</v>
      </c>
    </row>
    <row r="16" spans="3:26">
      <c r="C16" s="3">
        <v>46157</v>
      </c>
      <c r="D16" s="1">
        <v>0</v>
      </c>
      <c r="E16" s="164">
        <v>260</v>
      </c>
      <c r="F16" s="1">
        <f t="shared" ref="F16:G32" si="5">F15+D16</f>
        <v>0</v>
      </c>
      <c r="G16" s="1">
        <f t="shared" si="5"/>
        <v>645</v>
      </c>
      <c r="H16" s="1">
        <f t="shared" si="2"/>
        <v>0</v>
      </c>
      <c r="I16" s="1">
        <f t="shared" si="2"/>
        <v>317.17495987158907</v>
      </c>
      <c r="J16" s="1">
        <f t="shared" ref="J16:K22" si="6">J15+H16</f>
        <v>0</v>
      </c>
      <c r="K16" s="1">
        <f t="shared" si="6"/>
        <v>786.83788121990369</v>
      </c>
      <c r="L16" s="1">
        <v>55</v>
      </c>
      <c r="M16" s="1">
        <f t="shared" si="0"/>
        <v>110</v>
      </c>
      <c r="P16" s="3">
        <v>46157</v>
      </c>
      <c r="Q16" s="1">
        <v>0</v>
      </c>
      <c r="R16" s="1">
        <v>80</v>
      </c>
      <c r="S16" s="1">
        <f t="shared" ref="S16:S43" si="7">S15+Q16</f>
        <v>0</v>
      </c>
      <c r="T16" s="1">
        <f t="shared" ref="T16:T40" si="8">T15+R16</f>
        <v>80</v>
      </c>
      <c r="U16" s="1">
        <f t="shared" si="3"/>
        <v>0</v>
      </c>
      <c r="V16" s="1">
        <f t="shared" si="4"/>
        <v>97.592295345104333</v>
      </c>
      <c r="W16" s="1">
        <f t="shared" ref="W16" si="9">W15+U16</f>
        <v>0</v>
      </c>
      <c r="X16" s="1">
        <f t="shared" ref="X16" si="10">X15+V16</f>
        <v>97.592295345104333</v>
      </c>
      <c r="Y16" s="1">
        <v>0</v>
      </c>
      <c r="Z16" s="1">
        <f t="shared" si="1"/>
        <v>0</v>
      </c>
    </row>
    <row r="17" spans="3:26">
      <c r="C17" s="3">
        <v>46162</v>
      </c>
      <c r="D17" s="1">
        <v>0</v>
      </c>
      <c r="E17" s="164">
        <v>255</v>
      </c>
      <c r="F17" s="1">
        <f t="shared" si="5"/>
        <v>0</v>
      </c>
      <c r="G17" s="1">
        <f t="shared" si="5"/>
        <v>900</v>
      </c>
      <c r="H17" s="19">
        <f t="shared" si="2"/>
        <v>0</v>
      </c>
      <c r="I17" s="19">
        <f t="shared" si="2"/>
        <v>311.07544141252009</v>
      </c>
      <c r="J17" s="19">
        <f>J16+H17</f>
        <v>0</v>
      </c>
      <c r="K17" s="19">
        <f>K16+I17</f>
        <v>1097.9133226324238</v>
      </c>
      <c r="L17" s="1">
        <v>55</v>
      </c>
      <c r="M17" s="1">
        <f t="shared" si="0"/>
        <v>165</v>
      </c>
      <c r="P17" s="3">
        <v>46162</v>
      </c>
      <c r="Q17" s="1">
        <v>0</v>
      </c>
      <c r="R17" s="1">
        <v>160</v>
      </c>
      <c r="S17" s="1">
        <f t="shared" si="7"/>
        <v>0</v>
      </c>
      <c r="T17" s="1">
        <f t="shared" si="8"/>
        <v>240</v>
      </c>
      <c r="U17" s="19">
        <f t="shared" si="3"/>
        <v>0</v>
      </c>
      <c r="V17" s="19">
        <f t="shared" si="4"/>
        <v>195.18459069020867</v>
      </c>
      <c r="W17" s="19">
        <f>W16+U17</f>
        <v>0</v>
      </c>
      <c r="X17" s="19">
        <f>X16+V17</f>
        <v>292.776886035313</v>
      </c>
      <c r="Y17" s="1">
        <v>80</v>
      </c>
      <c r="Z17" s="1">
        <f t="shared" si="1"/>
        <v>80</v>
      </c>
    </row>
    <row r="18" spans="3:26">
      <c r="C18" s="3">
        <v>46167</v>
      </c>
      <c r="D18" s="1">
        <v>0</v>
      </c>
      <c r="E18" s="164">
        <v>150</v>
      </c>
      <c r="F18" s="1">
        <f t="shared" si="5"/>
        <v>0</v>
      </c>
      <c r="G18" s="1">
        <f t="shared" si="5"/>
        <v>1050</v>
      </c>
      <c r="H18" s="19">
        <f t="shared" si="2"/>
        <v>0</v>
      </c>
      <c r="I18" s="19">
        <f t="shared" si="2"/>
        <v>182.98555377207063</v>
      </c>
      <c r="J18" s="19">
        <f t="shared" si="6"/>
        <v>0</v>
      </c>
      <c r="K18" s="19">
        <f t="shared" si="6"/>
        <v>1280.8988764044946</v>
      </c>
      <c r="L18" s="1">
        <v>71</v>
      </c>
      <c r="M18" s="1">
        <f t="shared" si="0"/>
        <v>236</v>
      </c>
      <c r="P18" s="3">
        <v>46167</v>
      </c>
      <c r="Q18" s="1">
        <v>0</v>
      </c>
      <c r="R18" s="1">
        <v>160</v>
      </c>
      <c r="S18" s="1">
        <f t="shared" si="7"/>
        <v>0</v>
      </c>
      <c r="T18" s="1">
        <f t="shared" si="8"/>
        <v>400</v>
      </c>
      <c r="U18" s="19">
        <f t="shared" si="3"/>
        <v>0</v>
      </c>
      <c r="V18" s="19">
        <f t="shared" si="4"/>
        <v>195.18459069020867</v>
      </c>
      <c r="W18" s="19">
        <f t="shared" ref="W18:W22" si="11">W17+U18</f>
        <v>0</v>
      </c>
      <c r="X18" s="19">
        <f t="shared" ref="X18:X20" si="12">X17+V18</f>
        <v>487.96147672552166</v>
      </c>
      <c r="Y18" s="1">
        <v>160</v>
      </c>
      <c r="Z18" s="1">
        <f t="shared" si="1"/>
        <v>240</v>
      </c>
    </row>
    <row r="19" spans="3:26">
      <c r="C19" s="3">
        <v>46172</v>
      </c>
      <c r="D19" s="1">
        <v>0</v>
      </c>
      <c r="E19" s="164">
        <v>110</v>
      </c>
      <c r="F19" s="1">
        <f t="shared" si="5"/>
        <v>0</v>
      </c>
      <c r="G19" s="1">
        <f t="shared" si="5"/>
        <v>1160</v>
      </c>
      <c r="H19" s="19">
        <f t="shared" si="2"/>
        <v>0</v>
      </c>
      <c r="I19" s="19">
        <f t="shared" si="2"/>
        <v>134.18940609951846</v>
      </c>
      <c r="J19" s="19">
        <f t="shared" si="6"/>
        <v>0</v>
      </c>
      <c r="K19" s="19">
        <f t="shared" si="6"/>
        <v>1415.088282504013</v>
      </c>
      <c r="L19" s="1">
        <v>280</v>
      </c>
      <c r="M19" s="1">
        <f t="shared" si="0"/>
        <v>516</v>
      </c>
      <c r="P19" s="3">
        <v>46172</v>
      </c>
      <c r="Q19" s="1">
        <v>0</v>
      </c>
      <c r="R19" s="1">
        <v>80</v>
      </c>
      <c r="S19" s="1">
        <f t="shared" si="7"/>
        <v>0</v>
      </c>
      <c r="T19" s="1">
        <f t="shared" si="8"/>
        <v>480</v>
      </c>
      <c r="U19" s="19">
        <f t="shared" si="3"/>
        <v>0</v>
      </c>
      <c r="V19" s="19">
        <f t="shared" si="4"/>
        <v>97.592295345104333</v>
      </c>
      <c r="W19" s="19">
        <f t="shared" si="11"/>
        <v>0</v>
      </c>
      <c r="X19" s="19">
        <f t="shared" si="12"/>
        <v>585.553772070626</v>
      </c>
      <c r="Y19" s="1">
        <v>160</v>
      </c>
      <c r="Z19" s="1">
        <f t="shared" si="1"/>
        <v>400</v>
      </c>
    </row>
    <row r="20" spans="3:26">
      <c r="C20" s="3">
        <v>46177</v>
      </c>
      <c r="D20" s="1">
        <v>250</v>
      </c>
      <c r="E20" s="164">
        <v>300</v>
      </c>
      <c r="F20" s="1">
        <f t="shared" si="5"/>
        <v>250</v>
      </c>
      <c r="G20" s="1">
        <f t="shared" si="5"/>
        <v>1460</v>
      </c>
      <c r="H20" s="19">
        <f t="shared" si="2"/>
        <v>304.97592295345106</v>
      </c>
      <c r="I20" s="19">
        <f t="shared" si="2"/>
        <v>365.97110754414126</v>
      </c>
      <c r="J20" s="19">
        <f t="shared" si="6"/>
        <v>304.97592295345106</v>
      </c>
      <c r="K20" s="19">
        <f t="shared" si="6"/>
        <v>1781.0593900481542</v>
      </c>
      <c r="L20" s="1">
        <v>380</v>
      </c>
      <c r="M20" s="1">
        <f t="shared" si="0"/>
        <v>896</v>
      </c>
      <c r="P20" s="3">
        <v>46177</v>
      </c>
      <c r="Q20" s="1">
        <v>0</v>
      </c>
      <c r="R20" s="1">
        <v>80</v>
      </c>
      <c r="S20" s="1">
        <f t="shared" si="7"/>
        <v>0</v>
      </c>
      <c r="T20" s="1">
        <f t="shared" si="8"/>
        <v>560</v>
      </c>
      <c r="U20" s="19">
        <f t="shared" si="3"/>
        <v>0</v>
      </c>
      <c r="V20" s="19">
        <f t="shared" si="4"/>
        <v>97.592295345104333</v>
      </c>
      <c r="W20" s="19">
        <f t="shared" si="11"/>
        <v>0</v>
      </c>
      <c r="X20" s="19">
        <f t="shared" si="12"/>
        <v>683.14606741573039</v>
      </c>
      <c r="Y20" s="1">
        <v>80</v>
      </c>
      <c r="Z20" s="1">
        <f t="shared" si="1"/>
        <v>480</v>
      </c>
    </row>
    <row r="21" spans="3:26">
      <c r="C21" s="3">
        <v>46182</v>
      </c>
      <c r="D21" s="1">
        <v>135</v>
      </c>
      <c r="E21" s="164">
        <v>463</v>
      </c>
      <c r="F21" s="1">
        <f t="shared" si="5"/>
        <v>385</v>
      </c>
      <c r="G21" s="1">
        <f t="shared" si="5"/>
        <v>1923</v>
      </c>
      <c r="H21" s="19">
        <f t="shared" si="2"/>
        <v>164.68699839486356</v>
      </c>
      <c r="I21" s="19">
        <f t="shared" si="2"/>
        <v>564.81540930979133</v>
      </c>
      <c r="J21" s="19">
        <f t="shared" si="6"/>
        <v>469.66292134831463</v>
      </c>
      <c r="K21" s="19"/>
      <c r="L21" s="1">
        <v>270</v>
      </c>
      <c r="M21" s="1">
        <f t="shared" si="0"/>
        <v>1166</v>
      </c>
      <c r="P21" s="3">
        <v>46182</v>
      </c>
      <c r="Q21" s="1">
        <v>0</v>
      </c>
      <c r="R21" s="1">
        <v>80</v>
      </c>
      <c r="S21" s="1">
        <f t="shared" si="7"/>
        <v>0</v>
      </c>
      <c r="T21" s="1">
        <f t="shared" si="8"/>
        <v>640</v>
      </c>
      <c r="U21" s="19">
        <f t="shared" si="3"/>
        <v>0</v>
      </c>
      <c r="V21" s="19">
        <f t="shared" si="4"/>
        <v>97.592295345104333</v>
      </c>
      <c r="W21" s="19">
        <f t="shared" si="11"/>
        <v>0</v>
      </c>
      <c r="X21" s="19"/>
      <c r="Y21" s="1">
        <v>80</v>
      </c>
      <c r="Z21" s="1">
        <f t="shared" si="1"/>
        <v>560</v>
      </c>
    </row>
    <row r="22" spans="3:26">
      <c r="C22" s="3">
        <v>46187</v>
      </c>
      <c r="D22" s="1">
        <v>260</v>
      </c>
      <c r="E22" s="164">
        <v>84</v>
      </c>
      <c r="F22" s="1">
        <f t="shared" si="5"/>
        <v>645</v>
      </c>
      <c r="G22" s="1">
        <f t="shared" si="5"/>
        <v>2007</v>
      </c>
      <c r="H22" s="19">
        <f t="shared" si="2"/>
        <v>317.17495987158907</v>
      </c>
      <c r="I22" s="19">
        <f t="shared" si="2"/>
        <v>102.47191011235955</v>
      </c>
      <c r="J22" s="19">
        <f t="shared" si="6"/>
        <v>786.83788121990369</v>
      </c>
      <c r="K22" s="19"/>
      <c r="L22" s="1">
        <v>174</v>
      </c>
      <c r="M22" s="1">
        <f t="shared" si="0"/>
        <v>1340</v>
      </c>
      <c r="P22" s="3">
        <v>46187</v>
      </c>
      <c r="Q22" s="1">
        <v>0</v>
      </c>
      <c r="R22" s="1">
        <v>80</v>
      </c>
      <c r="S22" s="1">
        <f t="shared" si="7"/>
        <v>0</v>
      </c>
      <c r="T22" s="1">
        <f t="shared" si="8"/>
        <v>720</v>
      </c>
      <c r="U22" s="19">
        <f t="shared" si="3"/>
        <v>0</v>
      </c>
      <c r="V22" s="19">
        <f t="shared" si="4"/>
        <v>97.592295345104333</v>
      </c>
      <c r="W22" s="19">
        <f t="shared" si="11"/>
        <v>0</v>
      </c>
      <c r="X22" s="19"/>
      <c r="Y22" s="1">
        <v>80</v>
      </c>
      <c r="Z22" s="1">
        <f t="shared" si="1"/>
        <v>640</v>
      </c>
    </row>
    <row r="23" spans="3:26">
      <c r="C23" s="3">
        <v>46192</v>
      </c>
      <c r="D23" s="1">
        <v>255</v>
      </c>
      <c r="E23" s="164">
        <v>263</v>
      </c>
      <c r="F23" s="1">
        <f t="shared" si="5"/>
        <v>900</v>
      </c>
      <c r="G23" s="1">
        <f t="shared" si="5"/>
        <v>2270</v>
      </c>
      <c r="H23" s="19">
        <f t="shared" si="2"/>
        <v>311.07544141252009</v>
      </c>
      <c r="I23" s="19">
        <f t="shared" si="2"/>
        <v>320.83467094703053</v>
      </c>
      <c r="J23" s="1"/>
      <c r="K23" s="1"/>
      <c r="L23" s="1"/>
      <c r="M23" s="1"/>
      <c r="P23" s="3">
        <v>46192</v>
      </c>
      <c r="Q23" s="1">
        <v>400</v>
      </c>
      <c r="R23" s="1">
        <v>300</v>
      </c>
      <c r="S23" s="1">
        <f t="shared" si="7"/>
        <v>400</v>
      </c>
      <c r="T23" s="1">
        <f t="shared" si="8"/>
        <v>1020</v>
      </c>
      <c r="U23" s="19">
        <f t="shared" si="3"/>
        <v>487.96147672552166</v>
      </c>
      <c r="V23" s="19">
        <f t="shared" si="4"/>
        <v>365.97110754414126</v>
      </c>
      <c r="W23" s="1"/>
      <c r="X23" s="1"/>
      <c r="Y23" s="1">
        <v>80</v>
      </c>
      <c r="Z23" s="1">
        <f t="shared" si="1"/>
        <v>720</v>
      </c>
    </row>
    <row r="24" spans="3:26">
      <c r="C24" s="3">
        <v>46197</v>
      </c>
      <c r="D24" s="1">
        <v>150</v>
      </c>
      <c r="E24" s="164">
        <v>230</v>
      </c>
      <c r="F24" s="1">
        <f t="shared" si="5"/>
        <v>1050</v>
      </c>
      <c r="G24" s="1">
        <f t="shared" si="5"/>
        <v>2500</v>
      </c>
      <c r="H24" s="19">
        <f t="shared" si="2"/>
        <v>182.98555377207063</v>
      </c>
      <c r="I24" s="19">
        <f t="shared" si="2"/>
        <v>280.57784911717499</v>
      </c>
      <c r="J24" s="1"/>
      <c r="K24" s="1"/>
      <c r="L24" s="1"/>
      <c r="M24" s="1"/>
      <c r="P24" s="3">
        <v>46197</v>
      </c>
      <c r="Q24" s="1">
        <v>400</v>
      </c>
      <c r="R24" s="1">
        <v>300</v>
      </c>
      <c r="S24" s="1">
        <f t="shared" si="7"/>
        <v>800</v>
      </c>
      <c r="T24" s="1">
        <f t="shared" si="8"/>
        <v>1320</v>
      </c>
      <c r="U24" s="19">
        <f t="shared" si="3"/>
        <v>487.96147672552166</v>
      </c>
      <c r="V24" s="19">
        <f t="shared" si="4"/>
        <v>365.97110754414126</v>
      </c>
      <c r="W24" s="1"/>
      <c r="X24" s="1"/>
      <c r="Y24" s="1"/>
      <c r="Z24" s="1"/>
    </row>
    <row r="25" spans="3:26">
      <c r="C25" s="3">
        <v>46202</v>
      </c>
      <c r="D25" s="1">
        <v>110</v>
      </c>
      <c r="E25" s="164">
        <v>245</v>
      </c>
      <c r="F25" s="1">
        <f t="shared" si="5"/>
        <v>1160</v>
      </c>
      <c r="G25" s="1">
        <f t="shared" si="5"/>
        <v>2745</v>
      </c>
      <c r="H25" s="19">
        <f t="shared" si="2"/>
        <v>134.18940609951846</v>
      </c>
      <c r="I25" s="19">
        <f t="shared" si="2"/>
        <v>298.87640449438203</v>
      </c>
      <c r="J25" s="1"/>
      <c r="K25" s="1"/>
      <c r="L25" s="1"/>
      <c r="M25" s="1"/>
      <c r="P25" s="3">
        <v>46202</v>
      </c>
      <c r="Q25" s="1">
        <v>400</v>
      </c>
      <c r="R25" s="1">
        <v>300</v>
      </c>
      <c r="S25" s="1">
        <f t="shared" si="7"/>
        <v>1200</v>
      </c>
      <c r="T25" s="1">
        <f t="shared" si="8"/>
        <v>1620</v>
      </c>
      <c r="U25" s="19">
        <f t="shared" si="3"/>
        <v>487.96147672552166</v>
      </c>
      <c r="V25" s="19">
        <f t="shared" si="4"/>
        <v>365.97110754414126</v>
      </c>
      <c r="W25" s="1"/>
      <c r="X25" s="1"/>
      <c r="Y25" s="1"/>
      <c r="Z25" s="1"/>
    </row>
    <row r="26" spans="3:26">
      <c r="C26" s="3">
        <v>46207</v>
      </c>
      <c r="D26" s="1">
        <v>300</v>
      </c>
      <c r="E26" s="164">
        <v>695</v>
      </c>
      <c r="F26" s="1">
        <f t="shared" si="5"/>
        <v>1460</v>
      </c>
      <c r="G26" s="1">
        <f t="shared" si="5"/>
        <v>3440</v>
      </c>
      <c r="H26" s="19">
        <f t="shared" si="2"/>
        <v>365.97110754414126</v>
      </c>
      <c r="I26" s="1"/>
      <c r="J26" s="1"/>
      <c r="K26" s="1"/>
      <c r="L26" s="1"/>
      <c r="M26" s="1"/>
      <c r="P26" s="3">
        <v>46207</v>
      </c>
      <c r="Q26" s="1">
        <v>400</v>
      </c>
      <c r="R26" s="1">
        <v>300</v>
      </c>
      <c r="S26" s="1">
        <f t="shared" si="7"/>
        <v>1600</v>
      </c>
      <c r="T26" s="1">
        <f t="shared" si="8"/>
        <v>1920</v>
      </c>
      <c r="U26" s="19">
        <f t="shared" si="3"/>
        <v>487.96147672552166</v>
      </c>
      <c r="V26" s="1"/>
      <c r="W26" s="1"/>
      <c r="X26" s="1"/>
      <c r="Y26" s="1"/>
      <c r="Z26" s="1"/>
    </row>
    <row r="27" spans="3:26">
      <c r="C27" s="3">
        <v>46212</v>
      </c>
      <c r="D27" s="1">
        <v>463</v>
      </c>
      <c r="E27" s="164">
        <v>555</v>
      </c>
      <c r="F27" s="1">
        <f t="shared" si="5"/>
        <v>1923</v>
      </c>
      <c r="G27" s="1">
        <f t="shared" si="5"/>
        <v>3995</v>
      </c>
      <c r="H27" s="19">
        <f t="shared" si="2"/>
        <v>564.81540930979133</v>
      </c>
      <c r="I27" s="1"/>
      <c r="J27" s="1"/>
      <c r="K27" s="1"/>
      <c r="L27" s="1"/>
      <c r="M27" s="1"/>
      <c r="P27" s="3">
        <v>46212</v>
      </c>
      <c r="Q27" s="1">
        <v>400</v>
      </c>
      <c r="R27" s="1">
        <v>300</v>
      </c>
      <c r="S27" s="1">
        <f t="shared" si="7"/>
        <v>2000</v>
      </c>
      <c r="T27" s="1">
        <f t="shared" si="8"/>
        <v>2220</v>
      </c>
      <c r="U27" s="19">
        <f t="shared" si="3"/>
        <v>487.96147672552166</v>
      </c>
      <c r="V27" s="1"/>
      <c r="W27" s="1"/>
      <c r="X27" s="1"/>
      <c r="Y27" s="1"/>
      <c r="Z27" s="1"/>
    </row>
    <row r="28" spans="3:26">
      <c r="C28" s="3">
        <v>46217</v>
      </c>
      <c r="D28" s="1">
        <v>84</v>
      </c>
      <c r="E28" s="164">
        <v>565</v>
      </c>
      <c r="F28" s="1">
        <f t="shared" si="5"/>
        <v>2007</v>
      </c>
      <c r="G28" s="1">
        <f t="shared" si="5"/>
        <v>4560</v>
      </c>
      <c r="M28" s="1"/>
      <c r="P28" s="3">
        <v>46217</v>
      </c>
      <c r="Q28" s="1">
        <v>400</v>
      </c>
      <c r="R28" s="1">
        <v>300</v>
      </c>
      <c r="S28" s="1">
        <f t="shared" si="7"/>
        <v>2400</v>
      </c>
      <c r="T28" s="1">
        <f t="shared" si="8"/>
        <v>2520</v>
      </c>
    </row>
    <row r="29" spans="3:26">
      <c r="C29" s="3">
        <v>46222</v>
      </c>
      <c r="D29" s="1">
        <v>263</v>
      </c>
      <c r="E29" s="164">
        <v>870</v>
      </c>
      <c r="F29" s="1">
        <f t="shared" si="5"/>
        <v>2270</v>
      </c>
      <c r="G29" s="1">
        <f t="shared" si="5"/>
        <v>5430</v>
      </c>
      <c r="P29" s="3">
        <v>46222</v>
      </c>
      <c r="Q29" s="1">
        <v>400</v>
      </c>
      <c r="R29" s="1">
        <v>500</v>
      </c>
      <c r="S29" s="1">
        <f t="shared" si="7"/>
        <v>2800</v>
      </c>
      <c r="T29" s="1">
        <f t="shared" si="8"/>
        <v>3020</v>
      </c>
    </row>
    <row r="30" spans="3:26">
      <c r="C30" s="3">
        <v>46227</v>
      </c>
      <c r="D30" s="1">
        <v>230</v>
      </c>
      <c r="E30" s="164">
        <v>438</v>
      </c>
      <c r="F30" s="1">
        <f t="shared" si="5"/>
        <v>2500</v>
      </c>
      <c r="G30" s="1">
        <f t="shared" si="5"/>
        <v>5868</v>
      </c>
      <c r="P30" s="3">
        <v>46227</v>
      </c>
      <c r="Q30" s="1">
        <v>400</v>
      </c>
      <c r="R30" s="1">
        <v>500</v>
      </c>
      <c r="S30" s="1">
        <f t="shared" si="7"/>
        <v>3200</v>
      </c>
      <c r="T30" s="1">
        <f t="shared" si="8"/>
        <v>3520</v>
      </c>
    </row>
    <row r="31" spans="3:26">
      <c r="C31" s="3">
        <v>46232</v>
      </c>
      <c r="D31" s="1">
        <v>245</v>
      </c>
      <c r="E31" s="164">
        <v>438</v>
      </c>
      <c r="F31" s="1">
        <f t="shared" si="5"/>
        <v>2745</v>
      </c>
      <c r="G31" s="1">
        <f t="shared" si="5"/>
        <v>6306</v>
      </c>
      <c r="P31" s="3">
        <v>46232</v>
      </c>
      <c r="Q31" s="1">
        <v>400</v>
      </c>
      <c r="R31" s="1">
        <v>700</v>
      </c>
      <c r="S31" s="1">
        <f t="shared" si="7"/>
        <v>3600</v>
      </c>
      <c r="T31" s="1">
        <f t="shared" si="8"/>
        <v>4220</v>
      </c>
    </row>
    <row r="32" spans="3:26">
      <c r="C32" s="3">
        <v>46237</v>
      </c>
      <c r="D32" s="1">
        <v>695</v>
      </c>
      <c r="E32" s="164">
        <v>438</v>
      </c>
      <c r="F32" s="1">
        <f t="shared" ref="F32:G43" si="13">F31+D32</f>
        <v>3440</v>
      </c>
      <c r="G32" s="1">
        <f t="shared" si="5"/>
        <v>6744</v>
      </c>
      <c r="P32" s="3">
        <v>46237</v>
      </c>
      <c r="Q32" s="1">
        <v>400</v>
      </c>
      <c r="R32" s="1">
        <v>700</v>
      </c>
      <c r="S32" s="1">
        <f t="shared" si="7"/>
        <v>4000</v>
      </c>
      <c r="T32" s="1">
        <f t="shared" si="8"/>
        <v>4920</v>
      </c>
    </row>
    <row r="33" spans="3:20">
      <c r="C33" s="3">
        <v>46242</v>
      </c>
      <c r="D33" s="1">
        <v>555</v>
      </c>
      <c r="E33" s="164">
        <v>438</v>
      </c>
      <c r="F33" s="1">
        <f t="shared" si="13"/>
        <v>3995</v>
      </c>
      <c r="G33" s="1">
        <f t="shared" si="13"/>
        <v>7182</v>
      </c>
      <c r="P33" s="3">
        <v>46242</v>
      </c>
      <c r="Q33" s="1">
        <v>400</v>
      </c>
      <c r="R33" s="1">
        <v>700</v>
      </c>
      <c r="S33" s="1">
        <f t="shared" si="7"/>
        <v>4400</v>
      </c>
      <c r="T33" s="1">
        <f t="shared" si="8"/>
        <v>5620</v>
      </c>
    </row>
    <row r="34" spans="3:20">
      <c r="C34" s="3">
        <v>46247</v>
      </c>
      <c r="D34" s="1">
        <v>565</v>
      </c>
      <c r="E34" s="164">
        <v>438</v>
      </c>
      <c r="F34" s="1">
        <f t="shared" si="13"/>
        <v>4560</v>
      </c>
      <c r="G34" s="1">
        <f t="shared" si="13"/>
        <v>7620</v>
      </c>
      <c r="P34" s="3">
        <v>46247</v>
      </c>
      <c r="Q34" s="1">
        <v>400</v>
      </c>
      <c r="R34" s="1">
        <v>700</v>
      </c>
      <c r="S34" s="1">
        <f t="shared" si="7"/>
        <v>4800</v>
      </c>
      <c r="T34" s="1">
        <f t="shared" si="8"/>
        <v>6320</v>
      </c>
    </row>
    <row r="35" spans="3:20">
      <c r="C35" s="3">
        <v>46252</v>
      </c>
      <c r="D35" s="1">
        <v>870</v>
      </c>
      <c r="E35" s="164">
        <v>1165</v>
      </c>
      <c r="F35" s="1">
        <f t="shared" si="13"/>
        <v>5430</v>
      </c>
      <c r="G35" s="1">
        <f t="shared" si="13"/>
        <v>8785</v>
      </c>
      <c r="P35" s="3">
        <v>46252</v>
      </c>
      <c r="Q35" s="1">
        <v>400</v>
      </c>
      <c r="R35" s="1">
        <v>700</v>
      </c>
      <c r="S35" s="1">
        <f t="shared" si="7"/>
        <v>5200</v>
      </c>
      <c r="T35" s="1">
        <f t="shared" si="8"/>
        <v>7020</v>
      </c>
    </row>
    <row r="36" spans="3:20">
      <c r="C36" s="3">
        <v>46257</v>
      </c>
      <c r="D36" s="1">
        <v>438</v>
      </c>
      <c r="F36" s="1">
        <f t="shared" si="13"/>
        <v>5868</v>
      </c>
      <c r="P36" s="3">
        <v>46257</v>
      </c>
      <c r="Q36" s="1">
        <v>400</v>
      </c>
      <c r="R36" s="1">
        <v>700</v>
      </c>
      <c r="S36" s="1">
        <f t="shared" si="7"/>
        <v>5600</v>
      </c>
      <c r="T36" s="1">
        <f t="shared" si="8"/>
        <v>7720</v>
      </c>
    </row>
    <row r="37" spans="3:20">
      <c r="C37" s="3">
        <v>46262</v>
      </c>
      <c r="D37" s="1">
        <v>438</v>
      </c>
      <c r="F37" s="1">
        <f t="shared" si="13"/>
        <v>6306</v>
      </c>
      <c r="P37" s="3">
        <v>46262</v>
      </c>
      <c r="Q37" s="1">
        <v>400</v>
      </c>
      <c r="R37" s="1">
        <v>700</v>
      </c>
      <c r="S37" s="1">
        <f t="shared" si="7"/>
        <v>6000</v>
      </c>
      <c r="T37" s="1">
        <f t="shared" si="8"/>
        <v>8420</v>
      </c>
    </row>
    <row r="38" spans="3:20">
      <c r="C38" s="3">
        <v>46267</v>
      </c>
      <c r="D38" s="1">
        <v>438</v>
      </c>
      <c r="F38" s="1">
        <f t="shared" si="13"/>
        <v>6744</v>
      </c>
      <c r="P38" s="3">
        <v>46267</v>
      </c>
      <c r="Q38" s="1">
        <v>600</v>
      </c>
      <c r="R38" s="1">
        <v>720</v>
      </c>
      <c r="S38" s="1">
        <f t="shared" si="7"/>
        <v>6600</v>
      </c>
      <c r="T38" s="1">
        <f t="shared" si="8"/>
        <v>9140</v>
      </c>
    </row>
    <row r="39" spans="3:20">
      <c r="C39" s="3">
        <v>46272</v>
      </c>
      <c r="D39" s="1">
        <v>438</v>
      </c>
      <c r="F39" s="1">
        <f t="shared" si="13"/>
        <v>7182</v>
      </c>
      <c r="P39" s="3">
        <v>46272</v>
      </c>
      <c r="Q39" s="1">
        <v>800</v>
      </c>
      <c r="R39" s="1">
        <v>700</v>
      </c>
      <c r="S39" s="1">
        <f t="shared" si="7"/>
        <v>7400</v>
      </c>
      <c r="T39" s="1">
        <f t="shared" si="8"/>
        <v>9840</v>
      </c>
    </row>
    <row r="40" spans="3:20">
      <c r="C40" s="3">
        <v>46277</v>
      </c>
      <c r="D40" s="1">
        <v>438</v>
      </c>
      <c r="F40" s="1">
        <f t="shared" si="13"/>
        <v>7620</v>
      </c>
      <c r="P40" s="3">
        <v>46277</v>
      </c>
      <c r="Q40" s="1">
        <v>800</v>
      </c>
      <c r="R40" s="1">
        <v>824</v>
      </c>
      <c r="S40" s="1">
        <f t="shared" si="7"/>
        <v>8200</v>
      </c>
      <c r="T40" s="1">
        <f t="shared" si="8"/>
        <v>10664</v>
      </c>
    </row>
    <row r="41" spans="3:20">
      <c r="C41" s="3">
        <v>46282</v>
      </c>
      <c r="D41" s="1">
        <v>438</v>
      </c>
      <c r="F41" s="1">
        <f t="shared" si="13"/>
        <v>8058</v>
      </c>
      <c r="P41" s="3">
        <v>46282</v>
      </c>
      <c r="Q41" s="1">
        <v>800</v>
      </c>
      <c r="R41" s="1"/>
      <c r="S41" s="1">
        <f t="shared" si="7"/>
        <v>9000</v>
      </c>
      <c r="T41" s="1"/>
    </row>
    <row r="42" spans="3:20">
      <c r="C42" s="3">
        <v>46287</v>
      </c>
      <c r="D42" s="1">
        <v>438</v>
      </c>
      <c r="F42" s="1">
        <f t="shared" si="13"/>
        <v>8496</v>
      </c>
      <c r="P42" s="3">
        <v>46287</v>
      </c>
      <c r="Q42" s="1">
        <v>800</v>
      </c>
      <c r="R42" s="1"/>
      <c r="S42" s="1">
        <f t="shared" si="7"/>
        <v>9800</v>
      </c>
      <c r="T42" s="1"/>
    </row>
    <row r="43" spans="3:20">
      <c r="C43" s="3">
        <v>46292</v>
      </c>
      <c r="D43" s="1">
        <v>289</v>
      </c>
      <c r="F43" s="1">
        <f t="shared" si="13"/>
        <v>8785</v>
      </c>
      <c r="P43" s="3">
        <v>46292</v>
      </c>
      <c r="Q43" s="1">
        <v>864</v>
      </c>
      <c r="R43" s="1"/>
      <c r="S43" s="1">
        <f t="shared" si="7"/>
        <v>10664</v>
      </c>
      <c r="T43" s="1"/>
    </row>
    <row r="50" spans="18:19">
      <c r="S50" s="163"/>
    </row>
    <row r="51" spans="18:19">
      <c r="R51" s="13"/>
      <c r="S51" s="163"/>
    </row>
    <row r="52" spans="18:19">
      <c r="S52" s="163"/>
    </row>
    <row r="53" spans="18:19">
      <c r="S53" s="163"/>
    </row>
    <row r="54" spans="18:19">
      <c r="S54" s="163"/>
    </row>
    <row r="55" spans="18:19">
      <c r="S55" s="163"/>
    </row>
    <row r="56" spans="18:19">
      <c r="S56" s="163"/>
    </row>
    <row r="57" spans="18:19">
      <c r="S57" s="163"/>
    </row>
    <row r="58" spans="18:19">
      <c r="S58" s="163"/>
    </row>
    <row r="59" spans="18:19">
      <c r="S59" s="163"/>
    </row>
    <row r="60" spans="18:19">
      <c r="S60" s="163"/>
    </row>
    <row r="61" spans="18:19">
      <c r="S61" s="163"/>
    </row>
    <row r="62" spans="18:19">
      <c r="S62" s="163"/>
    </row>
    <row r="63" spans="18:19">
      <c r="S63" s="163"/>
    </row>
    <row r="64" spans="18:19">
      <c r="S64" s="163"/>
    </row>
    <row r="65" spans="19:19">
      <c r="S65" s="163"/>
    </row>
    <row r="66" spans="19:19">
      <c r="S66" s="163"/>
    </row>
    <row r="67" spans="19:19">
      <c r="S67" s="163"/>
    </row>
    <row r="69" spans="19:19">
      <c r="S69" s="13"/>
    </row>
    <row r="86" spans="3:27">
      <c r="C86" s="213" t="s">
        <v>50</v>
      </c>
      <c r="D86" s="213"/>
      <c r="E86" s="165" t="s">
        <v>69</v>
      </c>
      <c r="Q86" s="213" t="s">
        <v>50</v>
      </c>
      <c r="R86" s="213"/>
      <c r="S86" s="165" t="s">
        <v>69</v>
      </c>
    </row>
    <row r="87" spans="3:27">
      <c r="C87" s="213" t="s">
        <v>54</v>
      </c>
      <c r="D87" s="213"/>
      <c r="E87" s="165" t="s">
        <v>70</v>
      </c>
      <c r="Q87" s="213" t="s">
        <v>54</v>
      </c>
      <c r="R87" s="213"/>
      <c r="S87" s="165" t="s">
        <v>71</v>
      </c>
    </row>
    <row r="88" spans="3:27">
      <c r="C88" s="213" t="s">
        <v>57</v>
      </c>
      <c r="D88" s="213"/>
      <c r="E88" s="165">
        <v>4764</v>
      </c>
      <c r="Q88" s="213" t="s">
        <v>57</v>
      </c>
      <c r="R88" s="213"/>
      <c r="S88" s="165">
        <v>2500</v>
      </c>
    </row>
    <row r="89" spans="3:27">
      <c r="R89" s="1"/>
    </row>
    <row r="90" spans="3:27" ht="42.75">
      <c r="C90" s="159" t="s">
        <v>58</v>
      </c>
      <c r="D90" s="159" t="s">
        <v>59</v>
      </c>
      <c r="E90" s="159" t="s">
        <v>60</v>
      </c>
      <c r="F90" s="159" t="s">
        <v>61</v>
      </c>
      <c r="G90" s="159" t="s">
        <v>62</v>
      </c>
      <c r="H90" s="159" t="s">
        <v>63</v>
      </c>
      <c r="I90" s="159" t="s">
        <v>64</v>
      </c>
      <c r="J90" s="159" t="s">
        <v>65</v>
      </c>
      <c r="K90" s="159" t="s">
        <v>66</v>
      </c>
      <c r="L90" s="159" t="s">
        <v>67</v>
      </c>
      <c r="M90" s="159" t="s">
        <v>68</v>
      </c>
      <c r="Q90" s="159" t="s">
        <v>58</v>
      </c>
      <c r="R90" s="159" t="s">
        <v>59</v>
      </c>
      <c r="S90" s="159" t="s">
        <v>60</v>
      </c>
      <c r="T90" s="159" t="s">
        <v>61</v>
      </c>
      <c r="U90" s="159" t="s">
        <v>62</v>
      </c>
      <c r="V90" s="159" t="s">
        <v>63</v>
      </c>
      <c r="W90" s="159" t="s">
        <v>64</v>
      </c>
      <c r="X90" s="159" t="s">
        <v>65</v>
      </c>
      <c r="Y90" s="159" t="s">
        <v>66</v>
      </c>
      <c r="Z90" s="159" t="s">
        <v>67</v>
      </c>
      <c r="AA90" s="159" t="s">
        <v>68</v>
      </c>
    </row>
    <row r="91" spans="3:27">
      <c r="C91" s="3">
        <v>46117</v>
      </c>
      <c r="D91" s="1">
        <v>0</v>
      </c>
      <c r="E91" s="1">
        <v>0</v>
      </c>
      <c r="F91" s="1">
        <v>0</v>
      </c>
      <c r="G91" s="1">
        <v>0</v>
      </c>
      <c r="H91" s="1"/>
      <c r="I91" s="1"/>
      <c r="J91" s="1"/>
      <c r="K91" s="1"/>
      <c r="L91" s="1">
        <v>0</v>
      </c>
      <c r="M91" s="1">
        <f>L91</f>
        <v>0</v>
      </c>
      <c r="Q91" s="3">
        <v>46117</v>
      </c>
      <c r="R91" s="1">
        <v>0</v>
      </c>
      <c r="S91" s="1">
        <v>0</v>
      </c>
      <c r="T91" s="1">
        <v>0</v>
      </c>
      <c r="U91" s="1">
        <v>0</v>
      </c>
      <c r="V91" s="1"/>
      <c r="W91" s="1"/>
      <c r="X91" s="1"/>
      <c r="Y91" s="1"/>
      <c r="Z91" s="1">
        <v>0</v>
      </c>
      <c r="AA91" s="1">
        <f>Z91</f>
        <v>0</v>
      </c>
    </row>
    <row r="92" spans="3:27">
      <c r="C92" s="3">
        <v>46122</v>
      </c>
      <c r="D92" s="1">
        <v>0</v>
      </c>
      <c r="E92" s="1">
        <v>0</v>
      </c>
      <c r="F92" s="1">
        <v>0</v>
      </c>
      <c r="G92" s="1">
        <v>0</v>
      </c>
      <c r="H92" s="1"/>
      <c r="I92" s="1"/>
      <c r="J92" s="1"/>
      <c r="K92" s="1"/>
      <c r="L92" s="1">
        <v>0</v>
      </c>
      <c r="M92" s="1">
        <f>M91+L92</f>
        <v>0</v>
      </c>
      <c r="Q92" s="3">
        <v>46122</v>
      </c>
      <c r="R92" s="1">
        <v>0</v>
      </c>
      <c r="S92" s="1">
        <v>0</v>
      </c>
      <c r="T92" s="1">
        <v>0</v>
      </c>
      <c r="U92" s="1">
        <v>0</v>
      </c>
      <c r="V92" s="1"/>
      <c r="W92" s="1"/>
      <c r="X92" s="1"/>
      <c r="Y92" s="1"/>
      <c r="Z92" s="1">
        <v>0</v>
      </c>
      <c r="AA92" s="1">
        <f>AA91+Z92</f>
        <v>0</v>
      </c>
    </row>
    <row r="93" spans="3:27">
      <c r="C93" s="3">
        <v>46127</v>
      </c>
      <c r="D93" s="1">
        <v>0</v>
      </c>
      <c r="E93" s="1">
        <v>0</v>
      </c>
      <c r="F93" s="1">
        <v>0</v>
      </c>
      <c r="G93" s="1">
        <v>0</v>
      </c>
      <c r="H93" s="1"/>
      <c r="I93" s="1"/>
      <c r="J93" s="1"/>
      <c r="K93" s="1"/>
      <c r="L93" s="1">
        <v>0</v>
      </c>
      <c r="M93" s="1">
        <f t="shared" ref="M93:M97" si="14">M92+L93</f>
        <v>0</v>
      </c>
      <c r="Q93" s="3">
        <v>46127</v>
      </c>
      <c r="R93" s="1">
        <v>0</v>
      </c>
      <c r="S93" s="1">
        <v>0</v>
      </c>
      <c r="T93" s="1">
        <v>0</v>
      </c>
      <c r="U93" s="1">
        <v>0</v>
      </c>
      <c r="V93" s="1"/>
      <c r="W93" s="1"/>
      <c r="X93" s="1"/>
      <c r="Y93" s="1"/>
      <c r="Z93" s="1">
        <v>0</v>
      </c>
      <c r="AA93" s="1">
        <f t="shared" ref="AA93:AA102" si="15">AA92+Z93</f>
        <v>0</v>
      </c>
    </row>
    <row r="94" spans="3:27">
      <c r="C94" s="3">
        <v>46132</v>
      </c>
      <c r="D94" s="1">
        <v>0</v>
      </c>
      <c r="E94" s="1">
        <v>0</v>
      </c>
      <c r="F94" s="1">
        <v>0</v>
      </c>
      <c r="G94" s="1">
        <v>0</v>
      </c>
      <c r="H94" s="1"/>
      <c r="I94" s="1"/>
      <c r="J94" s="1"/>
      <c r="K94" s="1"/>
      <c r="L94" s="1">
        <v>0</v>
      </c>
      <c r="M94" s="1">
        <f t="shared" si="14"/>
        <v>0</v>
      </c>
      <c r="Q94" s="3">
        <v>46132</v>
      </c>
      <c r="R94" s="1">
        <v>0</v>
      </c>
      <c r="S94" s="1">
        <v>0</v>
      </c>
      <c r="T94" s="1">
        <v>0</v>
      </c>
      <c r="U94" s="1">
        <v>0</v>
      </c>
      <c r="V94" s="1"/>
      <c r="W94" s="1"/>
      <c r="X94" s="1"/>
      <c r="Y94" s="1"/>
      <c r="Z94" s="1">
        <v>0</v>
      </c>
      <c r="AA94" s="1">
        <f t="shared" si="15"/>
        <v>0</v>
      </c>
    </row>
    <row r="95" spans="3:27">
      <c r="C95" s="3">
        <v>46137</v>
      </c>
      <c r="D95" s="1">
        <v>0</v>
      </c>
      <c r="E95" s="1">
        <v>0</v>
      </c>
      <c r="F95" s="1">
        <v>0</v>
      </c>
      <c r="G95" s="1">
        <v>0</v>
      </c>
      <c r="H95" s="1"/>
      <c r="I95" s="1"/>
      <c r="J95" s="1"/>
      <c r="K95" s="1"/>
      <c r="L95" s="1">
        <v>0</v>
      </c>
      <c r="M95" s="1">
        <f t="shared" si="14"/>
        <v>0</v>
      </c>
      <c r="Q95" s="3">
        <v>46137</v>
      </c>
      <c r="R95" s="1">
        <v>0</v>
      </c>
      <c r="S95" s="1">
        <v>0</v>
      </c>
      <c r="T95" s="1">
        <v>0</v>
      </c>
      <c r="U95" s="1">
        <v>0</v>
      </c>
      <c r="V95" s="1"/>
      <c r="W95" s="1"/>
      <c r="X95" s="1"/>
      <c r="Y95" s="1"/>
      <c r="Z95" s="1">
        <v>0</v>
      </c>
      <c r="AA95" s="1">
        <f t="shared" si="15"/>
        <v>0</v>
      </c>
    </row>
    <row r="96" spans="3:27">
      <c r="C96" s="3">
        <v>46142</v>
      </c>
      <c r="D96" s="1">
        <v>0</v>
      </c>
      <c r="E96" s="1">
        <v>0</v>
      </c>
      <c r="F96" s="1">
        <v>0</v>
      </c>
      <c r="G96" s="1">
        <v>0</v>
      </c>
      <c r="H96" s="1"/>
      <c r="I96" s="1"/>
      <c r="J96" s="1"/>
      <c r="K96" s="1"/>
      <c r="L96" s="1">
        <v>0</v>
      </c>
      <c r="M96" s="1">
        <f t="shared" si="14"/>
        <v>0</v>
      </c>
      <c r="Q96" s="3">
        <v>46142</v>
      </c>
      <c r="R96" s="1">
        <v>0</v>
      </c>
      <c r="S96" s="1">
        <v>0</v>
      </c>
      <c r="T96" s="1">
        <v>0</v>
      </c>
      <c r="U96" s="1">
        <v>0</v>
      </c>
      <c r="V96" s="1"/>
      <c r="W96" s="1"/>
      <c r="X96" s="1"/>
      <c r="Y96" s="1"/>
      <c r="Z96" s="1">
        <v>0</v>
      </c>
      <c r="AA96" s="1">
        <f t="shared" si="15"/>
        <v>0</v>
      </c>
    </row>
    <row r="97" spans="3:27">
      <c r="C97" s="3">
        <v>46147</v>
      </c>
      <c r="D97" s="1">
        <v>0</v>
      </c>
      <c r="E97" s="164">
        <v>0</v>
      </c>
      <c r="F97" s="1">
        <f>D97</f>
        <v>0</v>
      </c>
      <c r="G97" s="1">
        <f>E97</f>
        <v>0</v>
      </c>
      <c r="H97" s="1">
        <f>$K$1/$K$2*D97</f>
        <v>0</v>
      </c>
      <c r="I97" s="1">
        <f>$K$1/$K$2*E97</f>
        <v>0</v>
      </c>
      <c r="J97" s="1">
        <f>H97</f>
        <v>0</v>
      </c>
      <c r="K97" s="1">
        <f>I97</f>
        <v>0</v>
      </c>
      <c r="L97" s="1">
        <v>0</v>
      </c>
      <c r="M97" s="1">
        <f t="shared" si="14"/>
        <v>0</v>
      </c>
      <c r="Q97" s="3">
        <v>46147</v>
      </c>
      <c r="R97" s="1">
        <v>0</v>
      </c>
      <c r="S97" s="164">
        <v>0</v>
      </c>
      <c r="T97" s="1">
        <f>R97</f>
        <v>0</v>
      </c>
      <c r="U97" s="1">
        <f>S97</f>
        <v>0</v>
      </c>
      <c r="V97" s="1">
        <f>$K$1/$K$2*R97</f>
        <v>0</v>
      </c>
      <c r="W97" s="1">
        <f>$K$1/$K$2*S97</f>
        <v>0</v>
      </c>
      <c r="X97" s="1">
        <f>V97</f>
        <v>0</v>
      </c>
      <c r="Y97" s="1">
        <f>W97</f>
        <v>0</v>
      </c>
      <c r="Z97" s="1">
        <v>0</v>
      </c>
      <c r="AA97" s="1">
        <f t="shared" si="15"/>
        <v>0</v>
      </c>
    </row>
    <row r="98" spans="3:27">
      <c r="C98" s="3">
        <v>46152</v>
      </c>
      <c r="D98" s="1">
        <v>0</v>
      </c>
      <c r="E98" s="164">
        <v>0</v>
      </c>
      <c r="F98" s="1">
        <f>F97+D98</f>
        <v>0</v>
      </c>
      <c r="G98" s="1">
        <f>G97+E98</f>
        <v>0</v>
      </c>
      <c r="H98" s="1">
        <f t="shared" ref="H98:H110" si="16">$K$1/$K$2*D98</f>
        <v>0</v>
      </c>
      <c r="I98" s="1">
        <f t="shared" ref="I98:I108" si="17">$K$1/$K$2*E98</f>
        <v>0</v>
      </c>
      <c r="J98" s="1">
        <f>J97+H98</f>
        <v>0</v>
      </c>
      <c r="K98" s="1">
        <f>K97+I98</f>
        <v>0</v>
      </c>
      <c r="L98" s="1">
        <v>55</v>
      </c>
      <c r="M98" s="1">
        <v>0</v>
      </c>
      <c r="Q98" s="3">
        <v>46152</v>
      </c>
      <c r="R98" s="1">
        <v>0</v>
      </c>
      <c r="S98" s="164">
        <v>0</v>
      </c>
      <c r="T98" s="1">
        <f>T97+R98</f>
        <v>0</v>
      </c>
      <c r="U98" s="1">
        <f>U97+S98</f>
        <v>0</v>
      </c>
      <c r="V98" s="1">
        <f t="shared" ref="V98:V110" si="18">$K$1/$K$2*R98</f>
        <v>0</v>
      </c>
      <c r="W98" s="1">
        <f t="shared" ref="W98:W108" si="19">$K$1/$K$2*S98</f>
        <v>0</v>
      </c>
      <c r="X98" s="1">
        <f>X97+V98</f>
        <v>0</v>
      </c>
      <c r="Y98" s="1">
        <f>Y97+W98</f>
        <v>0</v>
      </c>
      <c r="Z98" s="1">
        <v>0</v>
      </c>
      <c r="AA98" s="1">
        <f t="shared" si="15"/>
        <v>0</v>
      </c>
    </row>
    <row r="99" spans="3:27">
      <c r="C99" s="3">
        <v>46157</v>
      </c>
      <c r="D99" s="1">
        <v>0</v>
      </c>
      <c r="E99" s="164">
        <v>0</v>
      </c>
      <c r="F99" s="1">
        <f t="shared" ref="F99:F126" si="20">F98+D99</f>
        <v>0</v>
      </c>
      <c r="G99" s="1">
        <f t="shared" ref="G99:G122" si="21">G98+E99</f>
        <v>0</v>
      </c>
      <c r="H99" s="1">
        <f t="shared" si="16"/>
        <v>0</v>
      </c>
      <c r="I99" s="1">
        <f t="shared" si="17"/>
        <v>0</v>
      </c>
      <c r="J99" s="1">
        <f t="shared" ref="J99" si="22">J98+H99</f>
        <v>0</v>
      </c>
      <c r="K99" s="1">
        <f t="shared" ref="K99" si="23">K98+I99</f>
        <v>0</v>
      </c>
      <c r="L99" s="1">
        <v>55</v>
      </c>
      <c r="M99" s="1">
        <v>0</v>
      </c>
      <c r="Q99" s="3">
        <v>46157</v>
      </c>
      <c r="R99" s="1">
        <v>0</v>
      </c>
      <c r="S99" s="164">
        <v>0</v>
      </c>
      <c r="T99" s="1">
        <f t="shared" ref="T99:T126" si="24">T98+R99</f>
        <v>0</v>
      </c>
      <c r="U99" s="1">
        <f t="shared" ref="U99:U115" si="25">U98+S99</f>
        <v>0</v>
      </c>
      <c r="V99" s="1">
        <f t="shared" si="18"/>
        <v>0</v>
      </c>
      <c r="W99" s="1">
        <f t="shared" si="19"/>
        <v>0</v>
      </c>
      <c r="X99" s="1">
        <f t="shared" ref="X99" si="26">X98+V99</f>
        <v>0</v>
      </c>
      <c r="Y99" s="1">
        <f t="shared" ref="Y99" si="27">Y98+W99</f>
        <v>0</v>
      </c>
      <c r="Z99" s="1">
        <v>0</v>
      </c>
      <c r="AA99" s="1">
        <f t="shared" si="15"/>
        <v>0</v>
      </c>
    </row>
    <row r="100" spans="3:27">
      <c r="C100" s="3">
        <v>46162</v>
      </c>
      <c r="D100" s="1">
        <v>0</v>
      </c>
      <c r="E100" s="164">
        <v>0</v>
      </c>
      <c r="F100" s="1">
        <f t="shared" si="20"/>
        <v>0</v>
      </c>
      <c r="G100" s="1">
        <f t="shared" si="21"/>
        <v>0</v>
      </c>
      <c r="H100" s="19">
        <f t="shared" si="16"/>
        <v>0</v>
      </c>
      <c r="I100" s="19">
        <f t="shared" si="17"/>
        <v>0</v>
      </c>
      <c r="J100" s="19">
        <f>J99+H100</f>
        <v>0</v>
      </c>
      <c r="K100" s="19">
        <f>K99+I100</f>
        <v>0</v>
      </c>
      <c r="L100" s="1">
        <v>55</v>
      </c>
      <c r="M100" s="1">
        <v>0</v>
      </c>
      <c r="Q100" s="3">
        <v>46162</v>
      </c>
      <c r="R100" s="1">
        <v>0</v>
      </c>
      <c r="S100" s="164">
        <v>0</v>
      </c>
      <c r="T100" s="1">
        <f t="shared" si="24"/>
        <v>0</v>
      </c>
      <c r="U100" s="1">
        <f t="shared" si="25"/>
        <v>0</v>
      </c>
      <c r="V100" s="19">
        <f t="shared" si="18"/>
        <v>0</v>
      </c>
      <c r="W100" s="19">
        <f t="shared" si="19"/>
        <v>0</v>
      </c>
      <c r="X100" s="19">
        <f>X99+V100</f>
        <v>0</v>
      </c>
      <c r="Y100" s="19">
        <f>Y99+W100</f>
        <v>0</v>
      </c>
      <c r="Z100" s="1">
        <v>0</v>
      </c>
      <c r="AA100" s="1">
        <f t="shared" si="15"/>
        <v>0</v>
      </c>
    </row>
    <row r="101" spans="3:27">
      <c r="C101" s="3">
        <v>46167</v>
      </c>
      <c r="D101" s="1">
        <v>0</v>
      </c>
      <c r="E101" s="164">
        <v>0</v>
      </c>
      <c r="F101" s="1">
        <f t="shared" si="20"/>
        <v>0</v>
      </c>
      <c r="G101" s="1">
        <f t="shared" si="21"/>
        <v>0</v>
      </c>
      <c r="H101" s="19">
        <f t="shared" si="16"/>
        <v>0</v>
      </c>
      <c r="I101" s="19">
        <f t="shared" si="17"/>
        <v>0</v>
      </c>
      <c r="J101" s="19">
        <f t="shared" ref="J101:J105" si="28">J100+H101</f>
        <v>0</v>
      </c>
      <c r="K101" s="19">
        <f t="shared" ref="K101:K103" si="29">K100+I101</f>
        <v>0</v>
      </c>
      <c r="L101" s="1">
        <v>71</v>
      </c>
      <c r="M101" s="1">
        <v>0</v>
      </c>
      <c r="Q101" s="3">
        <v>46167</v>
      </c>
      <c r="R101" s="1">
        <v>0</v>
      </c>
      <c r="S101" s="164">
        <v>100</v>
      </c>
      <c r="T101" s="1">
        <f t="shared" si="24"/>
        <v>0</v>
      </c>
      <c r="U101" s="1">
        <f t="shared" si="25"/>
        <v>100</v>
      </c>
      <c r="V101" s="19">
        <f t="shared" si="18"/>
        <v>0</v>
      </c>
      <c r="W101" s="19">
        <f t="shared" si="19"/>
        <v>121.99036918138042</v>
      </c>
      <c r="X101" s="19">
        <f t="shared" ref="X101:X105" si="30">X100+V101</f>
        <v>0</v>
      </c>
      <c r="Y101" s="19">
        <f t="shared" ref="Y101:Y103" si="31">Y100+W101</f>
        <v>121.99036918138042</v>
      </c>
      <c r="Z101" s="1">
        <v>20</v>
      </c>
      <c r="AA101" s="1">
        <f t="shared" si="15"/>
        <v>20</v>
      </c>
    </row>
    <row r="102" spans="3:27">
      <c r="C102" s="3">
        <v>46172</v>
      </c>
      <c r="D102" s="1">
        <v>0</v>
      </c>
      <c r="E102" s="164">
        <v>0</v>
      </c>
      <c r="F102" s="1">
        <f t="shared" si="20"/>
        <v>0</v>
      </c>
      <c r="G102" s="1">
        <f t="shared" si="21"/>
        <v>0</v>
      </c>
      <c r="H102" s="19">
        <f t="shared" si="16"/>
        <v>0</v>
      </c>
      <c r="I102" s="19">
        <f t="shared" si="17"/>
        <v>0</v>
      </c>
      <c r="J102" s="19">
        <f t="shared" si="28"/>
        <v>0</v>
      </c>
      <c r="K102" s="19">
        <f t="shared" si="29"/>
        <v>0</v>
      </c>
      <c r="L102" s="1">
        <v>280</v>
      </c>
      <c r="M102" s="1">
        <v>0</v>
      </c>
      <c r="Q102" s="3">
        <v>46172</v>
      </c>
      <c r="R102" s="1">
        <v>0</v>
      </c>
      <c r="S102" s="164">
        <v>412</v>
      </c>
      <c r="T102" s="1">
        <f t="shared" si="24"/>
        <v>0</v>
      </c>
      <c r="U102" s="1">
        <f t="shared" si="25"/>
        <v>512</v>
      </c>
      <c r="V102" s="19">
        <f t="shared" si="18"/>
        <v>0</v>
      </c>
      <c r="W102" s="19">
        <f t="shared" si="19"/>
        <v>502.60032102728735</v>
      </c>
      <c r="X102" s="19">
        <f t="shared" si="30"/>
        <v>0</v>
      </c>
      <c r="Y102" s="19">
        <f t="shared" si="31"/>
        <v>624.59069020866775</v>
      </c>
      <c r="Z102" s="1">
        <v>480</v>
      </c>
      <c r="AA102" s="1">
        <f t="shared" si="15"/>
        <v>500</v>
      </c>
    </row>
    <row r="103" spans="3:27">
      <c r="C103" s="3">
        <v>46177</v>
      </c>
      <c r="D103" s="1">
        <v>0</v>
      </c>
      <c r="E103" s="164">
        <v>0</v>
      </c>
      <c r="F103" s="1">
        <f t="shared" si="20"/>
        <v>0</v>
      </c>
      <c r="G103" s="1">
        <f t="shared" si="21"/>
        <v>0</v>
      </c>
      <c r="H103" s="19">
        <f t="shared" si="16"/>
        <v>0</v>
      </c>
      <c r="I103" s="19">
        <f t="shared" si="17"/>
        <v>0</v>
      </c>
      <c r="J103" s="19">
        <f t="shared" si="28"/>
        <v>0</v>
      </c>
      <c r="K103" s="19">
        <f t="shared" si="29"/>
        <v>0</v>
      </c>
      <c r="L103" s="1">
        <v>380</v>
      </c>
      <c r="M103" s="1">
        <v>0</v>
      </c>
      <c r="Q103" s="3">
        <v>46177</v>
      </c>
      <c r="R103" s="1">
        <v>0</v>
      </c>
      <c r="S103" s="164">
        <v>60</v>
      </c>
      <c r="T103" s="1">
        <f t="shared" si="24"/>
        <v>0</v>
      </c>
      <c r="U103" s="1">
        <f t="shared" si="25"/>
        <v>572</v>
      </c>
      <c r="V103" s="19">
        <f t="shared" si="18"/>
        <v>0</v>
      </c>
      <c r="W103" s="19">
        <f t="shared" si="19"/>
        <v>73.19422150882825</v>
      </c>
      <c r="X103" s="19">
        <f t="shared" si="30"/>
        <v>0</v>
      </c>
      <c r="Y103" s="19">
        <f t="shared" si="31"/>
        <v>697.78491171749602</v>
      </c>
      <c r="Z103" s="1"/>
      <c r="AA103" s="1"/>
    </row>
    <row r="104" spans="3:27">
      <c r="C104" s="3">
        <v>46182</v>
      </c>
      <c r="D104" s="1">
        <v>0</v>
      </c>
      <c r="E104" s="164">
        <v>0</v>
      </c>
      <c r="F104" s="1">
        <f t="shared" si="20"/>
        <v>0</v>
      </c>
      <c r="G104" s="1">
        <f t="shared" si="21"/>
        <v>0</v>
      </c>
      <c r="H104" s="19">
        <f t="shared" si="16"/>
        <v>0</v>
      </c>
      <c r="I104" s="19">
        <f t="shared" si="17"/>
        <v>0</v>
      </c>
      <c r="J104" s="19">
        <f t="shared" si="28"/>
        <v>0</v>
      </c>
      <c r="K104" s="19"/>
      <c r="L104" s="1">
        <v>270</v>
      </c>
      <c r="M104" s="1">
        <v>0</v>
      </c>
      <c r="Q104" s="3">
        <v>46182</v>
      </c>
      <c r="R104" s="1">
        <v>0</v>
      </c>
      <c r="S104" s="164">
        <v>60</v>
      </c>
      <c r="T104" s="1">
        <f t="shared" si="24"/>
        <v>0</v>
      </c>
      <c r="U104" s="1">
        <f t="shared" si="25"/>
        <v>632</v>
      </c>
      <c r="V104" s="19">
        <f t="shared" si="18"/>
        <v>0</v>
      </c>
      <c r="W104" s="19">
        <f t="shared" si="19"/>
        <v>73.19422150882825</v>
      </c>
      <c r="X104" s="19">
        <f t="shared" si="30"/>
        <v>0</v>
      </c>
      <c r="Y104" s="19"/>
      <c r="Z104" s="1"/>
      <c r="AA104" s="1"/>
    </row>
    <row r="105" spans="3:27">
      <c r="C105" s="3">
        <v>46187</v>
      </c>
      <c r="D105" s="1">
        <v>0</v>
      </c>
      <c r="E105" s="164">
        <v>255</v>
      </c>
      <c r="F105" s="1">
        <f t="shared" si="20"/>
        <v>0</v>
      </c>
      <c r="G105" s="1">
        <f t="shared" si="21"/>
        <v>255</v>
      </c>
      <c r="H105" s="19">
        <f t="shared" si="16"/>
        <v>0</v>
      </c>
      <c r="I105" s="19">
        <f t="shared" si="17"/>
        <v>311.07544141252009</v>
      </c>
      <c r="J105" s="19">
        <f t="shared" si="28"/>
        <v>0</v>
      </c>
      <c r="K105" s="19"/>
      <c r="L105" s="1">
        <v>174</v>
      </c>
      <c r="M105" s="1">
        <v>0</v>
      </c>
      <c r="Q105" s="3">
        <v>46187</v>
      </c>
      <c r="R105" s="1">
        <v>0</v>
      </c>
      <c r="S105" s="164">
        <v>60</v>
      </c>
      <c r="T105" s="1">
        <f t="shared" si="24"/>
        <v>0</v>
      </c>
      <c r="U105" s="1">
        <f t="shared" si="25"/>
        <v>692</v>
      </c>
      <c r="V105" s="19">
        <f t="shared" si="18"/>
        <v>0</v>
      </c>
      <c r="W105" s="19">
        <f t="shared" si="19"/>
        <v>73.19422150882825</v>
      </c>
      <c r="X105" s="19">
        <f t="shared" si="30"/>
        <v>0</v>
      </c>
      <c r="Y105" s="19"/>
      <c r="Z105" s="1"/>
      <c r="AA105" s="1"/>
    </row>
    <row r="106" spans="3:27">
      <c r="C106" s="3">
        <v>46192</v>
      </c>
      <c r="D106" s="1">
        <v>0</v>
      </c>
      <c r="E106" s="164">
        <v>150</v>
      </c>
      <c r="F106" s="1">
        <f t="shared" si="20"/>
        <v>0</v>
      </c>
      <c r="G106" s="1">
        <f t="shared" si="21"/>
        <v>405</v>
      </c>
      <c r="H106" s="19">
        <f t="shared" si="16"/>
        <v>0</v>
      </c>
      <c r="I106" s="19">
        <f t="shared" si="17"/>
        <v>182.98555377207063</v>
      </c>
      <c r="J106" s="1"/>
      <c r="K106" s="1"/>
      <c r="L106" s="1"/>
      <c r="M106" s="1"/>
      <c r="Q106" s="3">
        <v>46192</v>
      </c>
      <c r="R106" s="1">
        <v>0</v>
      </c>
      <c r="S106" s="164">
        <v>120</v>
      </c>
      <c r="T106" s="1">
        <f t="shared" si="24"/>
        <v>0</v>
      </c>
      <c r="U106" s="1">
        <f t="shared" si="25"/>
        <v>812</v>
      </c>
      <c r="V106" s="19">
        <f t="shared" si="18"/>
        <v>0</v>
      </c>
      <c r="W106" s="19">
        <f t="shared" si="19"/>
        <v>146.3884430176565</v>
      </c>
      <c r="X106" s="1"/>
      <c r="Y106" s="1"/>
      <c r="Z106" s="1"/>
      <c r="AA106" s="1"/>
    </row>
    <row r="107" spans="3:27">
      <c r="C107" s="3">
        <v>46197</v>
      </c>
      <c r="D107" s="1">
        <v>220</v>
      </c>
      <c r="E107" s="164">
        <v>370</v>
      </c>
      <c r="F107" s="1">
        <f t="shared" si="20"/>
        <v>220</v>
      </c>
      <c r="G107" s="1">
        <f t="shared" si="21"/>
        <v>775</v>
      </c>
      <c r="H107" s="19">
        <f t="shared" si="16"/>
        <v>268.37881219903693</v>
      </c>
      <c r="I107" s="19">
        <f t="shared" si="17"/>
        <v>451.36436597110753</v>
      </c>
      <c r="J107" s="1"/>
      <c r="K107" s="1"/>
      <c r="L107" s="1"/>
      <c r="M107" s="1"/>
      <c r="Q107" s="3">
        <v>46197</v>
      </c>
      <c r="R107" s="1">
        <v>0</v>
      </c>
      <c r="S107" s="164">
        <v>120</v>
      </c>
      <c r="T107" s="1">
        <f t="shared" si="24"/>
        <v>0</v>
      </c>
      <c r="U107" s="1">
        <f t="shared" si="25"/>
        <v>932</v>
      </c>
      <c r="V107" s="19">
        <f t="shared" si="18"/>
        <v>0</v>
      </c>
      <c r="W107" s="19">
        <f t="shared" si="19"/>
        <v>146.3884430176565</v>
      </c>
      <c r="X107" s="1"/>
      <c r="Y107" s="1"/>
      <c r="Z107" s="1"/>
      <c r="AA107" s="1"/>
    </row>
    <row r="108" spans="3:27">
      <c r="C108" s="3">
        <v>46202</v>
      </c>
      <c r="D108" s="1">
        <v>220</v>
      </c>
      <c r="E108" s="164">
        <v>325</v>
      </c>
      <c r="F108" s="1">
        <f t="shared" si="20"/>
        <v>440</v>
      </c>
      <c r="G108" s="1">
        <f t="shared" si="21"/>
        <v>1100</v>
      </c>
      <c r="H108" s="19">
        <f t="shared" si="16"/>
        <v>268.37881219903693</v>
      </c>
      <c r="I108" s="19">
        <f t="shared" si="17"/>
        <v>396.46869983948636</v>
      </c>
      <c r="J108" s="1"/>
      <c r="K108" s="1"/>
      <c r="L108" s="1"/>
      <c r="M108" s="1"/>
      <c r="Q108" s="3">
        <v>46202</v>
      </c>
      <c r="R108" s="1">
        <v>0</v>
      </c>
      <c r="S108" s="164">
        <v>120</v>
      </c>
      <c r="T108" s="1">
        <f t="shared" si="24"/>
        <v>0</v>
      </c>
      <c r="U108" s="1">
        <f t="shared" si="25"/>
        <v>1052</v>
      </c>
      <c r="V108" s="19">
        <f t="shared" si="18"/>
        <v>0</v>
      </c>
      <c r="W108" s="19">
        <f t="shared" si="19"/>
        <v>146.3884430176565</v>
      </c>
      <c r="X108" s="1"/>
      <c r="Y108" s="1"/>
      <c r="Z108" s="1"/>
      <c r="AA108" s="1"/>
    </row>
    <row r="109" spans="3:27">
      <c r="C109" s="3">
        <v>46207</v>
      </c>
      <c r="D109" s="1">
        <v>220</v>
      </c>
      <c r="E109" s="164">
        <v>120</v>
      </c>
      <c r="F109" s="1">
        <f t="shared" si="20"/>
        <v>660</v>
      </c>
      <c r="G109" s="1">
        <f t="shared" si="21"/>
        <v>1220</v>
      </c>
      <c r="H109" s="19">
        <f t="shared" si="16"/>
        <v>268.37881219903693</v>
      </c>
      <c r="I109" s="1"/>
      <c r="J109" s="1"/>
      <c r="K109" s="1"/>
      <c r="L109" s="1"/>
      <c r="M109" s="1"/>
      <c r="Q109" s="3">
        <v>46207</v>
      </c>
      <c r="R109" s="1">
        <v>0</v>
      </c>
      <c r="S109" s="164">
        <v>148</v>
      </c>
      <c r="T109" s="1">
        <f t="shared" si="24"/>
        <v>0</v>
      </c>
      <c r="U109" s="1">
        <f t="shared" si="25"/>
        <v>1200</v>
      </c>
      <c r="V109" s="19">
        <f t="shared" si="18"/>
        <v>0</v>
      </c>
      <c r="W109" s="1"/>
      <c r="X109" s="1"/>
      <c r="Y109" s="1"/>
      <c r="Z109" s="1"/>
      <c r="AA109" s="1"/>
    </row>
    <row r="110" spans="3:27">
      <c r="C110" s="3">
        <v>46212</v>
      </c>
      <c r="D110" s="1">
        <v>220</v>
      </c>
      <c r="E110" s="164">
        <v>62</v>
      </c>
      <c r="F110" s="1">
        <f t="shared" si="20"/>
        <v>880</v>
      </c>
      <c r="G110" s="1">
        <f t="shared" si="21"/>
        <v>1282</v>
      </c>
      <c r="H110" s="19">
        <f t="shared" si="16"/>
        <v>268.37881219903693</v>
      </c>
      <c r="I110" s="1"/>
      <c r="J110" s="1"/>
      <c r="K110" s="1"/>
      <c r="L110" s="1"/>
      <c r="M110" s="1"/>
      <c r="Q110" s="3">
        <v>46212</v>
      </c>
      <c r="R110" s="1">
        <v>0</v>
      </c>
      <c r="S110" s="164">
        <v>220</v>
      </c>
      <c r="T110" s="1">
        <f t="shared" si="24"/>
        <v>0</v>
      </c>
      <c r="U110" s="1">
        <f t="shared" si="25"/>
        <v>1420</v>
      </c>
      <c r="V110" s="19">
        <f t="shared" si="18"/>
        <v>0</v>
      </c>
      <c r="W110" s="1"/>
      <c r="X110" s="1"/>
      <c r="Y110" s="1"/>
      <c r="Z110" s="1"/>
      <c r="AA110" s="1"/>
    </row>
    <row r="111" spans="3:27">
      <c r="C111" s="3">
        <v>46217</v>
      </c>
      <c r="D111" s="1">
        <v>220</v>
      </c>
      <c r="E111" s="164">
        <v>268</v>
      </c>
      <c r="F111" s="1">
        <f t="shared" si="20"/>
        <v>1100</v>
      </c>
      <c r="G111" s="1">
        <f t="shared" si="21"/>
        <v>1550</v>
      </c>
      <c r="M111" s="1"/>
      <c r="Q111" s="3">
        <v>46217</v>
      </c>
      <c r="R111" s="1">
        <v>0</v>
      </c>
      <c r="S111" s="164">
        <v>300</v>
      </c>
      <c r="T111" s="1">
        <f t="shared" si="24"/>
        <v>0</v>
      </c>
      <c r="U111" s="1">
        <f t="shared" si="25"/>
        <v>1720</v>
      </c>
      <c r="AA111" s="1"/>
    </row>
    <row r="112" spans="3:27">
      <c r="C112" s="3">
        <v>46222</v>
      </c>
      <c r="D112" s="1">
        <v>220</v>
      </c>
      <c r="E112" s="164">
        <v>310</v>
      </c>
      <c r="F112" s="1">
        <f t="shared" si="20"/>
        <v>1320</v>
      </c>
      <c r="G112" s="1">
        <f t="shared" si="21"/>
        <v>1860</v>
      </c>
      <c r="Q112" s="3">
        <v>46222</v>
      </c>
      <c r="R112" s="1">
        <v>120</v>
      </c>
      <c r="S112" s="164">
        <v>200</v>
      </c>
      <c r="T112" s="1">
        <f t="shared" si="24"/>
        <v>120</v>
      </c>
      <c r="U112" s="1">
        <f t="shared" si="25"/>
        <v>1920</v>
      </c>
    </row>
    <row r="113" spans="3:21">
      <c r="C113" s="3">
        <v>46227</v>
      </c>
      <c r="D113" s="1">
        <v>220</v>
      </c>
      <c r="E113" s="164">
        <v>125</v>
      </c>
      <c r="F113" s="1">
        <f t="shared" si="20"/>
        <v>1540</v>
      </c>
      <c r="G113" s="1">
        <f t="shared" si="21"/>
        <v>1985</v>
      </c>
      <c r="Q113" s="3">
        <v>46227</v>
      </c>
      <c r="R113" s="1">
        <v>120</v>
      </c>
      <c r="S113" s="164">
        <v>200</v>
      </c>
      <c r="T113" s="1">
        <f t="shared" si="24"/>
        <v>240</v>
      </c>
      <c r="U113" s="1">
        <f t="shared" si="25"/>
        <v>2120</v>
      </c>
    </row>
    <row r="114" spans="3:21">
      <c r="C114" s="3">
        <v>46232</v>
      </c>
      <c r="D114" s="1">
        <v>220</v>
      </c>
      <c r="E114" s="164">
        <v>25</v>
      </c>
      <c r="F114" s="1">
        <f t="shared" si="20"/>
        <v>1760</v>
      </c>
      <c r="G114" s="1">
        <f t="shared" si="21"/>
        <v>2010</v>
      </c>
      <c r="Q114" s="3">
        <v>46232</v>
      </c>
      <c r="R114" s="1">
        <v>120</v>
      </c>
      <c r="S114" s="164">
        <v>200</v>
      </c>
      <c r="T114" s="1">
        <f t="shared" si="24"/>
        <v>360</v>
      </c>
      <c r="U114" s="1">
        <f t="shared" si="25"/>
        <v>2320</v>
      </c>
    </row>
    <row r="115" spans="3:21">
      <c r="C115" s="3">
        <v>46237</v>
      </c>
      <c r="D115" s="1">
        <v>220</v>
      </c>
      <c r="E115" s="164">
        <v>220</v>
      </c>
      <c r="F115" s="1">
        <f t="shared" si="20"/>
        <v>1980</v>
      </c>
      <c r="G115" s="1">
        <f t="shared" si="21"/>
        <v>2230</v>
      </c>
      <c r="Q115" s="3">
        <v>46237</v>
      </c>
      <c r="R115" s="1">
        <v>120</v>
      </c>
      <c r="S115" s="164">
        <v>180</v>
      </c>
      <c r="T115" s="1">
        <f t="shared" si="24"/>
        <v>480</v>
      </c>
      <c r="U115" s="1">
        <f t="shared" si="25"/>
        <v>2500</v>
      </c>
    </row>
    <row r="116" spans="3:21">
      <c r="C116" s="3">
        <v>46242</v>
      </c>
      <c r="D116" s="1">
        <v>220</v>
      </c>
      <c r="E116" s="164">
        <v>70</v>
      </c>
      <c r="F116" s="1">
        <f t="shared" si="20"/>
        <v>2200</v>
      </c>
      <c r="G116" s="1">
        <f t="shared" si="21"/>
        <v>2300</v>
      </c>
      <c r="Q116" s="3">
        <v>46242</v>
      </c>
      <c r="R116" s="1">
        <v>120</v>
      </c>
      <c r="S116" s="164"/>
      <c r="T116" s="1">
        <f t="shared" si="24"/>
        <v>600</v>
      </c>
      <c r="U116" s="1"/>
    </row>
    <row r="117" spans="3:21">
      <c r="C117" s="3">
        <v>46247</v>
      </c>
      <c r="D117" s="1">
        <v>220</v>
      </c>
      <c r="E117" s="164">
        <v>100</v>
      </c>
      <c r="F117" s="1">
        <f t="shared" si="20"/>
        <v>2420</v>
      </c>
      <c r="G117" s="1">
        <f t="shared" si="21"/>
        <v>2400</v>
      </c>
      <c r="Q117" s="3">
        <v>46247</v>
      </c>
      <c r="R117" s="1">
        <v>120</v>
      </c>
      <c r="S117" s="164"/>
      <c r="T117" s="1">
        <f t="shared" si="24"/>
        <v>720</v>
      </c>
      <c r="U117" s="1"/>
    </row>
    <row r="118" spans="3:21">
      <c r="C118" s="3">
        <v>46252</v>
      </c>
      <c r="D118" s="1">
        <v>220</v>
      </c>
      <c r="E118" s="164">
        <v>395</v>
      </c>
      <c r="F118" s="1">
        <f t="shared" si="20"/>
        <v>2640</v>
      </c>
      <c r="G118" s="1">
        <f t="shared" si="21"/>
        <v>2795</v>
      </c>
      <c r="Q118" s="3">
        <v>46252</v>
      </c>
      <c r="R118" s="1">
        <v>120</v>
      </c>
      <c r="S118" s="164"/>
      <c r="T118" s="1">
        <f t="shared" si="24"/>
        <v>840</v>
      </c>
      <c r="U118" s="1"/>
    </row>
    <row r="119" spans="3:21">
      <c r="C119" s="3">
        <v>46257</v>
      </c>
      <c r="D119" s="1">
        <v>220</v>
      </c>
      <c r="E119" s="1">
        <v>745</v>
      </c>
      <c r="F119" s="1">
        <f t="shared" si="20"/>
        <v>2860</v>
      </c>
      <c r="G119" s="1">
        <f t="shared" si="21"/>
        <v>3540</v>
      </c>
      <c r="Q119" s="3">
        <v>46257</v>
      </c>
      <c r="R119" s="1">
        <v>120</v>
      </c>
      <c r="S119" s="1"/>
      <c r="T119" s="1">
        <f t="shared" si="24"/>
        <v>960</v>
      </c>
      <c r="U119" s="1"/>
    </row>
    <row r="120" spans="3:21">
      <c r="C120" s="3">
        <v>46262</v>
      </c>
      <c r="D120" s="1">
        <v>220</v>
      </c>
      <c r="E120" s="1">
        <v>75</v>
      </c>
      <c r="F120" s="1">
        <f t="shared" si="20"/>
        <v>3080</v>
      </c>
      <c r="G120" s="1">
        <f t="shared" si="21"/>
        <v>3615</v>
      </c>
      <c r="Q120" s="3">
        <v>46262</v>
      </c>
      <c r="R120" s="1">
        <v>120</v>
      </c>
      <c r="S120" s="1"/>
      <c r="T120" s="1">
        <f t="shared" si="24"/>
        <v>1080</v>
      </c>
      <c r="U120" s="1"/>
    </row>
    <row r="121" spans="3:21">
      <c r="C121" s="3">
        <v>46267</v>
      </c>
      <c r="D121" s="1">
        <v>220</v>
      </c>
      <c r="E121" s="1">
        <v>120</v>
      </c>
      <c r="F121" s="1">
        <f t="shared" si="20"/>
        <v>3300</v>
      </c>
      <c r="G121" s="1">
        <f t="shared" si="21"/>
        <v>3735</v>
      </c>
      <c r="Q121" s="3">
        <v>46267</v>
      </c>
      <c r="R121" s="1">
        <v>120</v>
      </c>
      <c r="S121" s="1"/>
      <c r="T121" s="1">
        <f t="shared" si="24"/>
        <v>1200</v>
      </c>
      <c r="U121" s="1"/>
    </row>
    <row r="122" spans="3:21">
      <c r="C122" s="3">
        <v>46272</v>
      </c>
      <c r="D122" s="1">
        <v>220</v>
      </c>
      <c r="E122" s="1">
        <v>1029</v>
      </c>
      <c r="F122" s="1">
        <f t="shared" si="20"/>
        <v>3520</v>
      </c>
      <c r="G122" s="1">
        <f t="shared" si="21"/>
        <v>4764</v>
      </c>
      <c r="Q122" s="3">
        <v>46272</v>
      </c>
      <c r="R122" s="1">
        <v>120</v>
      </c>
      <c r="S122" s="1"/>
      <c r="T122" s="1">
        <f t="shared" si="24"/>
        <v>1320</v>
      </c>
      <c r="U122" s="1"/>
    </row>
    <row r="123" spans="3:21">
      <c r="C123" s="3">
        <v>46277</v>
      </c>
      <c r="D123" s="1">
        <v>280</v>
      </c>
      <c r="F123" s="1">
        <f t="shared" si="20"/>
        <v>3800</v>
      </c>
      <c r="Q123" s="3">
        <v>46277</v>
      </c>
      <c r="R123" s="1">
        <v>280</v>
      </c>
      <c r="T123" s="1">
        <f t="shared" si="24"/>
        <v>1600</v>
      </c>
    </row>
    <row r="124" spans="3:21">
      <c r="C124" s="3">
        <v>46282</v>
      </c>
      <c r="D124" s="1">
        <v>280</v>
      </c>
      <c r="F124" s="1">
        <f t="shared" si="20"/>
        <v>4080</v>
      </c>
      <c r="Q124" s="3">
        <v>46282</v>
      </c>
      <c r="R124" s="1">
        <v>280</v>
      </c>
      <c r="T124" s="1">
        <f t="shared" si="24"/>
        <v>1880</v>
      </c>
    </row>
    <row r="125" spans="3:21">
      <c r="C125" s="3">
        <v>46287</v>
      </c>
      <c r="D125" s="1">
        <v>320</v>
      </c>
      <c r="F125" s="1">
        <f t="shared" si="20"/>
        <v>4400</v>
      </c>
      <c r="Q125" s="3">
        <v>46287</v>
      </c>
      <c r="R125" s="1">
        <v>280</v>
      </c>
      <c r="T125" s="1">
        <f t="shared" si="24"/>
        <v>2160</v>
      </c>
    </row>
    <row r="126" spans="3:21">
      <c r="C126" s="3">
        <v>46292</v>
      </c>
      <c r="D126" s="1">
        <v>364</v>
      </c>
      <c r="F126" s="1">
        <f t="shared" si="20"/>
        <v>4764</v>
      </c>
      <c r="Q126" s="3">
        <v>46292</v>
      </c>
      <c r="R126" s="1">
        <v>340</v>
      </c>
      <c r="T126" s="1">
        <f t="shared" si="24"/>
        <v>2500</v>
      </c>
    </row>
    <row r="173" spans="3:5">
      <c r="C173" s="213" t="s">
        <v>50</v>
      </c>
      <c r="D173" s="213"/>
      <c r="E173" s="165" t="s">
        <v>72</v>
      </c>
    </row>
    <row r="174" spans="3:5">
      <c r="C174" s="213" t="s">
        <v>54</v>
      </c>
      <c r="D174" s="213"/>
      <c r="E174" s="165" t="s">
        <v>73</v>
      </c>
    </row>
    <row r="175" spans="3:5">
      <c r="C175" s="213" t="s">
        <v>57</v>
      </c>
      <c r="D175" s="213"/>
      <c r="E175" s="165">
        <v>26713</v>
      </c>
    </row>
    <row r="177" spans="3:13" ht="42.75">
      <c r="C177" s="159" t="s">
        <v>58</v>
      </c>
      <c r="D177" s="159" t="s">
        <v>59</v>
      </c>
      <c r="E177" s="159" t="s">
        <v>60</v>
      </c>
      <c r="F177" s="159" t="s">
        <v>61</v>
      </c>
      <c r="G177" s="159" t="s">
        <v>62</v>
      </c>
      <c r="H177" s="159" t="s">
        <v>63</v>
      </c>
      <c r="I177" s="159" t="s">
        <v>64</v>
      </c>
      <c r="J177" s="159" t="s">
        <v>65</v>
      </c>
      <c r="K177" s="159" t="s">
        <v>66</v>
      </c>
      <c r="L177" s="159" t="s">
        <v>67</v>
      </c>
      <c r="M177" s="159" t="s">
        <v>68</v>
      </c>
    </row>
    <row r="178" spans="3:13">
      <c r="C178" s="3">
        <v>46117</v>
      </c>
      <c r="D178" s="1">
        <f>D8+Q8+D91+R91</f>
        <v>0</v>
      </c>
      <c r="E178" s="1">
        <f>E8+R8+E91+S91</f>
        <v>0</v>
      </c>
      <c r="F178" s="1">
        <f>D178</f>
        <v>0</v>
      </c>
      <c r="G178" s="1">
        <f>E178</f>
        <v>0</v>
      </c>
      <c r="H178" s="1"/>
      <c r="I178" s="1"/>
      <c r="J178" s="1"/>
      <c r="K178" s="1"/>
      <c r="L178" s="1">
        <f>L8+Y8+L91+Z91</f>
        <v>0</v>
      </c>
      <c r="M178" s="1">
        <f>L178</f>
        <v>0</v>
      </c>
    </row>
    <row r="179" spans="3:13">
      <c r="C179" s="3">
        <v>46122</v>
      </c>
      <c r="D179" s="1">
        <f t="shared" ref="D179:D213" si="32">D9+Q9+D92+R92</f>
        <v>0</v>
      </c>
      <c r="E179" s="1">
        <f t="shared" ref="E179:E213" si="33">E9+R9+E92+S92</f>
        <v>0</v>
      </c>
      <c r="F179" s="1">
        <f>F178+D179</f>
        <v>0</v>
      </c>
      <c r="G179" s="1">
        <f>G178+E179</f>
        <v>0</v>
      </c>
      <c r="H179" s="1"/>
      <c r="I179" s="1"/>
      <c r="J179" s="1"/>
      <c r="K179" s="1"/>
      <c r="L179" s="1">
        <f t="shared" ref="L179:L192" si="34">L9+Y9+L92+Z92</f>
        <v>0</v>
      </c>
      <c r="M179" s="1">
        <f>M178+L179</f>
        <v>0</v>
      </c>
    </row>
    <row r="180" spans="3:13">
      <c r="C180" s="3">
        <v>46127</v>
      </c>
      <c r="D180" s="1">
        <f t="shared" si="32"/>
        <v>0</v>
      </c>
      <c r="E180" s="1">
        <f t="shared" si="33"/>
        <v>0</v>
      </c>
      <c r="F180" s="1">
        <f t="shared" ref="F180:F213" si="35">F179+D180</f>
        <v>0</v>
      </c>
      <c r="G180" s="1">
        <f t="shared" ref="G180:G210" si="36">G179+E180</f>
        <v>0</v>
      </c>
      <c r="H180" s="1"/>
      <c r="I180" s="1"/>
      <c r="J180" s="1"/>
      <c r="K180" s="1"/>
      <c r="L180" s="1">
        <f t="shared" si="34"/>
        <v>0</v>
      </c>
      <c r="M180" s="1">
        <f t="shared" ref="M180:M192" si="37">M179+L180</f>
        <v>0</v>
      </c>
    </row>
    <row r="181" spans="3:13">
      <c r="C181" s="3">
        <v>46132</v>
      </c>
      <c r="D181" s="1">
        <f t="shared" si="32"/>
        <v>0</v>
      </c>
      <c r="E181" s="1">
        <f t="shared" si="33"/>
        <v>0</v>
      </c>
      <c r="F181" s="1">
        <f t="shared" si="35"/>
        <v>0</v>
      </c>
      <c r="G181" s="1">
        <f t="shared" si="36"/>
        <v>0</v>
      </c>
      <c r="H181" s="1"/>
      <c r="I181" s="1"/>
      <c r="J181" s="1"/>
      <c r="K181" s="1"/>
      <c r="L181" s="1">
        <f t="shared" si="34"/>
        <v>0</v>
      </c>
      <c r="M181" s="1">
        <f t="shared" si="37"/>
        <v>0</v>
      </c>
    </row>
    <row r="182" spans="3:13">
      <c r="C182" s="3">
        <v>46137</v>
      </c>
      <c r="D182" s="1">
        <f t="shared" si="32"/>
        <v>0</v>
      </c>
      <c r="E182" s="1">
        <f t="shared" si="33"/>
        <v>0</v>
      </c>
      <c r="F182" s="1">
        <f t="shared" si="35"/>
        <v>0</v>
      </c>
      <c r="G182" s="1">
        <f t="shared" si="36"/>
        <v>0</v>
      </c>
      <c r="H182" s="1"/>
      <c r="I182" s="1"/>
      <c r="J182" s="1"/>
      <c r="K182" s="1"/>
      <c r="L182" s="1">
        <f t="shared" si="34"/>
        <v>0</v>
      </c>
      <c r="M182" s="1">
        <f t="shared" si="37"/>
        <v>0</v>
      </c>
    </row>
    <row r="183" spans="3:13">
      <c r="C183" s="3">
        <v>46142</v>
      </c>
      <c r="D183" s="1">
        <f t="shared" si="32"/>
        <v>0</v>
      </c>
      <c r="E183" s="1">
        <f t="shared" si="33"/>
        <v>0</v>
      </c>
      <c r="F183" s="1">
        <f t="shared" si="35"/>
        <v>0</v>
      </c>
      <c r="G183" s="1">
        <f t="shared" si="36"/>
        <v>0</v>
      </c>
      <c r="H183" s="1"/>
      <c r="I183" s="1"/>
      <c r="J183" s="1"/>
      <c r="K183" s="1"/>
      <c r="L183" s="1">
        <f t="shared" si="34"/>
        <v>0</v>
      </c>
      <c r="M183" s="1">
        <f t="shared" si="37"/>
        <v>0</v>
      </c>
    </row>
    <row r="184" spans="3:13">
      <c r="C184" s="3">
        <v>46147</v>
      </c>
      <c r="D184" s="1">
        <f t="shared" si="32"/>
        <v>0</v>
      </c>
      <c r="E184" s="1">
        <f t="shared" si="33"/>
        <v>250</v>
      </c>
      <c r="F184" s="1">
        <f t="shared" si="35"/>
        <v>0</v>
      </c>
      <c r="G184" s="1">
        <f t="shared" si="36"/>
        <v>250</v>
      </c>
      <c r="H184" s="1">
        <f>$K$1/$K$2*D184</f>
        <v>0</v>
      </c>
      <c r="I184" s="1">
        <f>$K$1/$K$2*E184</f>
        <v>304.97592295345106</v>
      </c>
      <c r="J184" s="1">
        <f>H184</f>
        <v>0</v>
      </c>
      <c r="K184" s="1">
        <f>I184</f>
        <v>304.97592295345106</v>
      </c>
      <c r="L184" s="1">
        <f t="shared" si="34"/>
        <v>0</v>
      </c>
      <c r="M184" s="1">
        <f t="shared" si="37"/>
        <v>0</v>
      </c>
    </row>
    <row r="185" spans="3:13">
      <c r="C185" s="3">
        <v>46152</v>
      </c>
      <c r="D185" s="1">
        <f t="shared" si="32"/>
        <v>0</v>
      </c>
      <c r="E185" s="1">
        <f t="shared" si="33"/>
        <v>135</v>
      </c>
      <c r="F185" s="1">
        <f t="shared" si="35"/>
        <v>0</v>
      </c>
      <c r="G185" s="1">
        <f t="shared" si="36"/>
        <v>385</v>
      </c>
      <c r="H185" s="1">
        <f t="shared" ref="H185:H197" si="38">$K$1/$K$2*D185</f>
        <v>0</v>
      </c>
      <c r="I185" s="1">
        <f t="shared" ref="I185:I195" si="39">$K$1/$K$2*E185</f>
        <v>164.68699839486356</v>
      </c>
      <c r="J185" s="1">
        <f>J184+H185</f>
        <v>0</v>
      </c>
      <c r="K185" s="1">
        <f>K184+I185</f>
        <v>469.66292134831463</v>
      </c>
      <c r="L185" s="1">
        <f t="shared" si="34"/>
        <v>110</v>
      </c>
      <c r="M185" s="1">
        <f t="shared" si="37"/>
        <v>110</v>
      </c>
    </row>
    <row r="186" spans="3:13">
      <c r="C186" s="3">
        <v>46157</v>
      </c>
      <c r="D186" s="1">
        <f t="shared" si="32"/>
        <v>0</v>
      </c>
      <c r="E186" s="1">
        <f t="shared" si="33"/>
        <v>340</v>
      </c>
      <c r="F186" s="1">
        <f t="shared" si="35"/>
        <v>0</v>
      </c>
      <c r="G186" s="1">
        <f t="shared" si="36"/>
        <v>725</v>
      </c>
      <c r="H186" s="1">
        <f t="shared" si="38"/>
        <v>0</v>
      </c>
      <c r="I186" s="1">
        <f t="shared" si="39"/>
        <v>414.76725521669346</v>
      </c>
      <c r="J186" s="1">
        <f t="shared" ref="J186" si="40">J185+H186</f>
        <v>0</v>
      </c>
      <c r="K186" s="1">
        <f t="shared" ref="K186" si="41">K185+I186</f>
        <v>884.43017656500808</v>
      </c>
      <c r="L186" s="1">
        <f t="shared" si="34"/>
        <v>110</v>
      </c>
      <c r="M186" s="1">
        <f t="shared" si="37"/>
        <v>220</v>
      </c>
    </row>
    <row r="187" spans="3:13">
      <c r="C187" s="3">
        <v>46162</v>
      </c>
      <c r="D187" s="1">
        <f t="shared" si="32"/>
        <v>0</v>
      </c>
      <c r="E187" s="1">
        <f t="shared" si="33"/>
        <v>415</v>
      </c>
      <c r="F187" s="1">
        <f t="shared" si="35"/>
        <v>0</v>
      </c>
      <c r="G187" s="1">
        <f t="shared" si="36"/>
        <v>1140</v>
      </c>
      <c r="H187" s="19">
        <f t="shared" si="38"/>
        <v>0</v>
      </c>
      <c r="I187" s="19">
        <f t="shared" si="39"/>
        <v>506.26003210272876</v>
      </c>
      <c r="J187" s="19">
        <f>J186+H187</f>
        <v>0</v>
      </c>
      <c r="K187" s="19">
        <f>K186+I187</f>
        <v>1390.6902086677369</v>
      </c>
      <c r="L187" s="1">
        <f t="shared" si="34"/>
        <v>190</v>
      </c>
      <c r="M187" s="1">
        <f t="shared" si="37"/>
        <v>410</v>
      </c>
    </row>
    <row r="188" spans="3:13">
      <c r="C188" s="3">
        <v>46167</v>
      </c>
      <c r="D188" s="1">
        <f t="shared" si="32"/>
        <v>0</v>
      </c>
      <c r="E188" s="1">
        <f t="shared" si="33"/>
        <v>410</v>
      </c>
      <c r="F188" s="1">
        <f t="shared" si="35"/>
        <v>0</v>
      </c>
      <c r="G188" s="1">
        <f t="shared" si="36"/>
        <v>1550</v>
      </c>
      <c r="H188" s="19">
        <f t="shared" si="38"/>
        <v>0</v>
      </c>
      <c r="I188" s="19">
        <f t="shared" si="39"/>
        <v>500.16051364365973</v>
      </c>
      <c r="J188" s="19">
        <f t="shared" ref="J188:J192" si="42">J187+H188</f>
        <v>0</v>
      </c>
      <c r="K188" s="19">
        <f t="shared" ref="K188:K190" si="43">K187+I188</f>
        <v>1890.8507223113966</v>
      </c>
      <c r="L188" s="1">
        <f t="shared" si="34"/>
        <v>322</v>
      </c>
      <c r="M188" s="1">
        <f t="shared" si="37"/>
        <v>732</v>
      </c>
    </row>
    <row r="189" spans="3:13">
      <c r="C189" s="3">
        <v>46172</v>
      </c>
      <c r="D189" s="1">
        <f t="shared" si="32"/>
        <v>0</v>
      </c>
      <c r="E189" s="1">
        <f t="shared" si="33"/>
        <v>602</v>
      </c>
      <c r="F189" s="1">
        <f t="shared" si="35"/>
        <v>0</v>
      </c>
      <c r="G189" s="1">
        <f t="shared" si="36"/>
        <v>2152</v>
      </c>
      <c r="H189" s="19">
        <f t="shared" si="38"/>
        <v>0</v>
      </c>
      <c r="I189" s="19">
        <f t="shared" si="39"/>
        <v>734.38202247191009</v>
      </c>
      <c r="J189" s="19">
        <f t="shared" si="42"/>
        <v>0</v>
      </c>
      <c r="K189" s="19">
        <f t="shared" si="43"/>
        <v>2625.2327447833068</v>
      </c>
      <c r="L189" s="1">
        <f t="shared" si="34"/>
        <v>1200</v>
      </c>
      <c r="M189" s="1">
        <f t="shared" si="37"/>
        <v>1932</v>
      </c>
    </row>
    <row r="190" spans="3:13">
      <c r="C190" s="3">
        <v>46177</v>
      </c>
      <c r="D190" s="1">
        <f t="shared" si="32"/>
        <v>250</v>
      </c>
      <c r="E190" s="1">
        <f t="shared" si="33"/>
        <v>440</v>
      </c>
      <c r="F190" s="1">
        <f t="shared" si="35"/>
        <v>250</v>
      </c>
      <c r="G190" s="1">
        <f t="shared" si="36"/>
        <v>2592</v>
      </c>
      <c r="H190" s="19">
        <f t="shared" si="38"/>
        <v>304.97592295345106</v>
      </c>
      <c r="I190" s="19">
        <f t="shared" si="39"/>
        <v>536.75762439807386</v>
      </c>
      <c r="J190" s="19">
        <f t="shared" si="42"/>
        <v>304.97592295345106</v>
      </c>
      <c r="K190" s="19">
        <f t="shared" si="43"/>
        <v>3161.9903691813806</v>
      </c>
      <c r="L190" s="1">
        <f t="shared" si="34"/>
        <v>840</v>
      </c>
      <c r="M190" s="1">
        <f t="shared" si="37"/>
        <v>2772</v>
      </c>
    </row>
    <row r="191" spans="3:13">
      <c r="C191" s="3">
        <v>46182</v>
      </c>
      <c r="D191" s="1">
        <f t="shared" si="32"/>
        <v>135</v>
      </c>
      <c r="E191" s="1">
        <f t="shared" si="33"/>
        <v>603</v>
      </c>
      <c r="F191" s="1">
        <f t="shared" si="35"/>
        <v>385</v>
      </c>
      <c r="G191" s="1">
        <f t="shared" si="36"/>
        <v>3195</v>
      </c>
      <c r="H191" s="19">
        <f t="shared" si="38"/>
        <v>164.68699839486356</v>
      </c>
      <c r="I191" s="19">
        <f t="shared" si="39"/>
        <v>735.60192616372399</v>
      </c>
      <c r="J191" s="19">
        <f t="shared" si="42"/>
        <v>469.66292134831463</v>
      </c>
      <c r="K191" s="19"/>
      <c r="L191" s="1">
        <f t="shared" si="34"/>
        <v>620</v>
      </c>
      <c r="M191" s="1">
        <f t="shared" si="37"/>
        <v>3392</v>
      </c>
    </row>
    <row r="192" spans="3:13">
      <c r="C192" s="3">
        <v>46187</v>
      </c>
      <c r="D192" s="1">
        <f t="shared" si="32"/>
        <v>260</v>
      </c>
      <c r="E192" s="1">
        <f t="shared" si="33"/>
        <v>479</v>
      </c>
      <c r="F192" s="1">
        <f t="shared" si="35"/>
        <v>645</v>
      </c>
      <c r="G192" s="1">
        <f t="shared" si="36"/>
        <v>3674</v>
      </c>
      <c r="H192" s="19">
        <f t="shared" si="38"/>
        <v>317.17495987158907</v>
      </c>
      <c r="I192" s="19">
        <f t="shared" si="39"/>
        <v>584.33386837881221</v>
      </c>
      <c r="J192" s="19">
        <f t="shared" si="42"/>
        <v>786.83788121990369</v>
      </c>
      <c r="K192" s="19"/>
      <c r="L192" s="1">
        <f t="shared" si="34"/>
        <v>428</v>
      </c>
      <c r="M192" s="1">
        <f t="shared" si="37"/>
        <v>3820</v>
      </c>
    </row>
    <row r="193" spans="3:13">
      <c r="C193" s="3">
        <v>46192</v>
      </c>
      <c r="D193" s="1">
        <f t="shared" si="32"/>
        <v>655</v>
      </c>
      <c r="E193" s="1">
        <f t="shared" si="33"/>
        <v>833</v>
      </c>
      <c r="F193" s="1">
        <f t="shared" si="35"/>
        <v>1300</v>
      </c>
      <c r="G193" s="1">
        <f t="shared" si="36"/>
        <v>4507</v>
      </c>
      <c r="H193" s="19">
        <f t="shared" si="38"/>
        <v>799.03691813804176</v>
      </c>
      <c r="I193" s="19">
        <f t="shared" si="39"/>
        <v>1016.1797752808989</v>
      </c>
      <c r="J193" s="1"/>
      <c r="K193" s="1"/>
      <c r="L193" s="1"/>
      <c r="M193" s="1"/>
    </row>
    <row r="194" spans="3:13">
      <c r="C194" s="3">
        <v>46197</v>
      </c>
      <c r="D194" s="1">
        <f t="shared" si="32"/>
        <v>770</v>
      </c>
      <c r="E194" s="1">
        <f t="shared" si="33"/>
        <v>1020</v>
      </c>
      <c r="F194" s="1">
        <f t="shared" si="35"/>
        <v>2070</v>
      </c>
      <c r="G194" s="1">
        <f t="shared" si="36"/>
        <v>5527</v>
      </c>
      <c r="H194" s="19">
        <f t="shared" si="38"/>
        <v>939.32584269662925</v>
      </c>
      <c r="I194" s="19">
        <f t="shared" si="39"/>
        <v>1244.3017656500804</v>
      </c>
      <c r="J194" s="1"/>
      <c r="K194" s="1"/>
      <c r="L194" s="1"/>
      <c r="M194" s="1"/>
    </row>
    <row r="195" spans="3:13">
      <c r="C195" s="3">
        <v>46202</v>
      </c>
      <c r="D195" s="1">
        <f t="shared" si="32"/>
        <v>730</v>
      </c>
      <c r="E195" s="1">
        <f t="shared" si="33"/>
        <v>990</v>
      </c>
      <c r="F195" s="1">
        <f t="shared" si="35"/>
        <v>2800</v>
      </c>
      <c r="G195" s="1">
        <f t="shared" si="36"/>
        <v>6517</v>
      </c>
      <c r="H195" s="19">
        <f t="shared" si="38"/>
        <v>890.52969502407711</v>
      </c>
      <c r="I195" s="19">
        <f t="shared" si="39"/>
        <v>1207.7046548956662</v>
      </c>
      <c r="J195" s="1"/>
      <c r="K195" s="1"/>
      <c r="L195" s="1"/>
      <c r="M195" s="1"/>
    </row>
    <row r="196" spans="3:13">
      <c r="C196" s="3">
        <v>46207</v>
      </c>
      <c r="D196" s="1">
        <f t="shared" si="32"/>
        <v>920</v>
      </c>
      <c r="E196" s="1">
        <f t="shared" si="33"/>
        <v>1263</v>
      </c>
      <c r="F196" s="1">
        <f t="shared" si="35"/>
        <v>3720</v>
      </c>
      <c r="G196" s="1">
        <f t="shared" si="36"/>
        <v>7780</v>
      </c>
      <c r="H196" s="19">
        <f t="shared" si="38"/>
        <v>1122.3113964687</v>
      </c>
      <c r="I196" s="1"/>
      <c r="J196" s="1"/>
      <c r="K196" s="1"/>
      <c r="L196" s="1"/>
      <c r="M196" s="1"/>
    </row>
    <row r="197" spans="3:13">
      <c r="C197" s="3">
        <v>46212</v>
      </c>
      <c r="D197" s="1">
        <f t="shared" si="32"/>
        <v>1083</v>
      </c>
      <c r="E197" s="1">
        <f t="shared" si="33"/>
        <v>1137</v>
      </c>
      <c r="F197" s="1">
        <f t="shared" si="35"/>
        <v>4803</v>
      </c>
      <c r="G197" s="1">
        <f t="shared" si="36"/>
        <v>8917</v>
      </c>
      <c r="H197" s="19">
        <f t="shared" si="38"/>
        <v>1321.15569823435</v>
      </c>
      <c r="I197" s="1"/>
      <c r="J197" s="1"/>
      <c r="K197" s="1"/>
      <c r="L197" s="1"/>
      <c r="M197" s="1"/>
    </row>
    <row r="198" spans="3:13">
      <c r="C198" s="3">
        <v>46217</v>
      </c>
      <c r="D198" s="1">
        <f t="shared" si="32"/>
        <v>704</v>
      </c>
      <c r="E198" s="1">
        <f t="shared" si="33"/>
        <v>1433</v>
      </c>
      <c r="F198" s="1">
        <f t="shared" si="35"/>
        <v>5507</v>
      </c>
      <c r="G198" s="1">
        <f t="shared" si="36"/>
        <v>10350</v>
      </c>
      <c r="M198" s="1"/>
    </row>
    <row r="199" spans="3:13">
      <c r="C199" s="3">
        <v>46222</v>
      </c>
      <c r="D199" s="1">
        <f t="shared" si="32"/>
        <v>1003</v>
      </c>
      <c r="E199" s="1">
        <f t="shared" si="33"/>
        <v>1880</v>
      </c>
      <c r="F199" s="1">
        <f t="shared" si="35"/>
        <v>6510</v>
      </c>
      <c r="G199" s="1">
        <f t="shared" si="36"/>
        <v>12230</v>
      </c>
    </row>
    <row r="200" spans="3:13">
      <c r="C200" s="3">
        <v>46227</v>
      </c>
      <c r="D200" s="1">
        <f t="shared" si="32"/>
        <v>970</v>
      </c>
      <c r="E200" s="1">
        <f t="shared" si="33"/>
        <v>1263</v>
      </c>
      <c r="F200" s="1">
        <f t="shared" si="35"/>
        <v>7480</v>
      </c>
      <c r="G200" s="1">
        <f t="shared" si="36"/>
        <v>13493</v>
      </c>
    </row>
    <row r="201" spans="3:13">
      <c r="C201" s="3">
        <v>46232</v>
      </c>
      <c r="D201" s="1">
        <f t="shared" si="32"/>
        <v>985</v>
      </c>
      <c r="E201" s="1">
        <f t="shared" si="33"/>
        <v>1363</v>
      </c>
      <c r="F201" s="1">
        <f t="shared" si="35"/>
        <v>8465</v>
      </c>
      <c r="G201" s="1">
        <f t="shared" si="36"/>
        <v>14856</v>
      </c>
    </row>
    <row r="202" spans="3:13">
      <c r="C202" s="3">
        <v>46237</v>
      </c>
      <c r="D202" s="1">
        <f t="shared" si="32"/>
        <v>1435</v>
      </c>
      <c r="E202" s="1">
        <f t="shared" si="33"/>
        <v>1538</v>
      </c>
      <c r="F202" s="1">
        <f t="shared" si="35"/>
        <v>9900</v>
      </c>
      <c r="G202" s="1">
        <f t="shared" si="36"/>
        <v>16394</v>
      </c>
    </row>
    <row r="203" spans="3:13">
      <c r="C203" s="3">
        <v>46242</v>
      </c>
      <c r="D203" s="1">
        <f t="shared" si="32"/>
        <v>1295</v>
      </c>
      <c r="E203" s="1">
        <f t="shared" si="33"/>
        <v>1208</v>
      </c>
      <c r="F203" s="1">
        <f t="shared" si="35"/>
        <v>11195</v>
      </c>
      <c r="G203" s="1">
        <f t="shared" si="36"/>
        <v>17602</v>
      </c>
    </row>
    <row r="204" spans="3:13">
      <c r="C204" s="3">
        <v>46247</v>
      </c>
      <c r="D204" s="1">
        <f t="shared" si="32"/>
        <v>1305</v>
      </c>
      <c r="E204" s="1">
        <f t="shared" si="33"/>
        <v>1238</v>
      </c>
      <c r="F204" s="1">
        <f t="shared" si="35"/>
        <v>12500</v>
      </c>
      <c r="G204" s="1">
        <f t="shared" si="36"/>
        <v>18840</v>
      </c>
    </row>
    <row r="205" spans="3:13">
      <c r="C205" s="3">
        <v>46252</v>
      </c>
      <c r="D205" s="1">
        <f t="shared" si="32"/>
        <v>1610</v>
      </c>
      <c r="E205" s="1">
        <f t="shared" si="33"/>
        <v>2260</v>
      </c>
      <c r="F205" s="1">
        <f t="shared" si="35"/>
        <v>14110</v>
      </c>
      <c r="G205" s="1">
        <f t="shared" si="36"/>
        <v>21100</v>
      </c>
    </row>
    <row r="206" spans="3:13">
      <c r="C206" s="3">
        <v>46257</v>
      </c>
      <c r="D206" s="1">
        <f t="shared" si="32"/>
        <v>1178</v>
      </c>
      <c r="E206" s="1">
        <f t="shared" si="33"/>
        <v>1445</v>
      </c>
      <c r="F206" s="1">
        <f t="shared" si="35"/>
        <v>15288</v>
      </c>
      <c r="G206" s="1">
        <f t="shared" si="36"/>
        <v>22545</v>
      </c>
    </row>
    <row r="207" spans="3:13">
      <c r="C207" s="3">
        <v>46262</v>
      </c>
      <c r="D207" s="1">
        <f t="shared" si="32"/>
        <v>1178</v>
      </c>
      <c r="E207" s="1">
        <f t="shared" si="33"/>
        <v>775</v>
      </c>
      <c r="F207" s="1">
        <f t="shared" si="35"/>
        <v>16466</v>
      </c>
      <c r="G207" s="1">
        <f t="shared" si="36"/>
        <v>23320</v>
      </c>
    </row>
    <row r="208" spans="3:13">
      <c r="C208" s="3">
        <v>46267</v>
      </c>
      <c r="D208" s="1">
        <f t="shared" si="32"/>
        <v>1378</v>
      </c>
      <c r="E208" s="1">
        <f t="shared" si="33"/>
        <v>840</v>
      </c>
      <c r="F208" s="1">
        <f t="shared" si="35"/>
        <v>17844</v>
      </c>
      <c r="G208" s="1">
        <f t="shared" si="36"/>
        <v>24160</v>
      </c>
    </row>
    <row r="209" spans="3:7">
      <c r="C209" s="3">
        <v>46272</v>
      </c>
      <c r="D209" s="1">
        <f t="shared" si="32"/>
        <v>1578</v>
      </c>
      <c r="E209" s="1">
        <f t="shared" si="33"/>
        <v>1729</v>
      </c>
      <c r="F209" s="1">
        <f t="shared" si="35"/>
        <v>19422</v>
      </c>
      <c r="G209" s="1">
        <f t="shared" si="36"/>
        <v>25889</v>
      </c>
    </row>
    <row r="210" spans="3:7">
      <c r="C210" s="3">
        <v>46277</v>
      </c>
      <c r="D210" s="1">
        <f t="shared" si="32"/>
        <v>1798</v>
      </c>
      <c r="E210" s="1">
        <f t="shared" si="33"/>
        <v>824</v>
      </c>
      <c r="F210" s="1">
        <f t="shared" si="35"/>
        <v>21220</v>
      </c>
      <c r="G210" s="1">
        <f t="shared" si="36"/>
        <v>26713</v>
      </c>
    </row>
    <row r="211" spans="3:7">
      <c r="C211" s="3">
        <v>46282</v>
      </c>
      <c r="D211" s="1">
        <f t="shared" si="32"/>
        <v>1798</v>
      </c>
      <c r="E211" s="1">
        <f t="shared" si="33"/>
        <v>0</v>
      </c>
      <c r="F211" s="1">
        <f t="shared" si="35"/>
        <v>23018</v>
      </c>
      <c r="G211" s="1"/>
    </row>
    <row r="212" spans="3:7">
      <c r="C212" s="3">
        <v>46287</v>
      </c>
      <c r="D212" s="1">
        <f t="shared" si="32"/>
        <v>1838</v>
      </c>
      <c r="E212" s="1">
        <f t="shared" si="33"/>
        <v>0</v>
      </c>
      <c r="F212" s="1">
        <f t="shared" si="35"/>
        <v>24856</v>
      </c>
      <c r="G212" s="1"/>
    </row>
    <row r="213" spans="3:7">
      <c r="C213" s="3">
        <v>46292</v>
      </c>
      <c r="D213" s="1">
        <f t="shared" si="32"/>
        <v>1857</v>
      </c>
      <c r="E213" s="1">
        <f t="shared" si="33"/>
        <v>0</v>
      </c>
      <c r="F213" s="1">
        <f t="shared" si="35"/>
        <v>26713</v>
      </c>
      <c r="G213" s="1"/>
    </row>
  </sheetData>
  <mergeCells count="16">
    <mergeCell ref="Q88:R88"/>
    <mergeCell ref="C173:D173"/>
    <mergeCell ref="C174:D174"/>
    <mergeCell ref="C175:D175"/>
    <mergeCell ref="P2:Q2"/>
    <mergeCell ref="P3:Q3"/>
    <mergeCell ref="P4:Q4"/>
    <mergeCell ref="Q86:R86"/>
    <mergeCell ref="Q87:R87"/>
    <mergeCell ref="C86:D86"/>
    <mergeCell ref="C87:D87"/>
    <mergeCell ref="C88:D88"/>
    <mergeCell ref="C2:D2"/>
    <mergeCell ref="C3:D3"/>
    <mergeCell ref="C4:D4"/>
    <mergeCell ref="C5:D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FE0BF-E21C-431C-B899-0F2AF04D42AC}">
  <sheetPr>
    <tabColor theme="3" tint="0.499984740745262"/>
  </sheetPr>
  <dimension ref="A1:M4"/>
  <sheetViews>
    <sheetView workbookViewId="0">
      <selection activeCell="M4" sqref="M4"/>
    </sheetView>
  </sheetViews>
  <sheetFormatPr baseColWidth="10" defaultColWidth="11.3984375" defaultRowHeight="14.25"/>
  <cols>
    <col min="1" max="18" width="17.265625" bestFit="1" customWidth="1"/>
  </cols>
  <sheetData>
    <row r="1" spans="1:13">
      <c r="A1" s="6" t="s">
        <v>74</v>
      </c>
      <c r="B1" t="s">
        <v>75</v>
      </c>
    </row>
    <row r="3" spans="1:13">
      <c r="A3" t="s">
        <v>76</v>
      </c>
      <c r="B3" t="s">
        <v>77</v>
      </c>
      <c r="C3" t="s">
        <v>78</v>
      </c>
      <c r="D3" t="s">
        <v>79</v>
      </c>
      <c r="E3" t="s">
        <v>80</v>
      </c>
      <c r="F3" t="s">
        <v>81</v>
      </c>
      <c r="G3" t="s">
        <v>82</v>
      </c>
      <c r="H3" t="s">
        <v>83</v>
      </c>
      <c r="I3" t="s">
        <v>84</v>
      </c>
      <c r="J3" t="s">
        <v>85</v>
      </c>
      <c r="K3" t="s">
        <v>86</v>
      </c>
      <c r="L3" t="s">
        <v>87</v>
      </c>
      <c r="M3" t="s">
        <v>88</v>
      </c>
    </row>
    <row r="4" spans="1:13">
      <c r="A4" s="13">
        <v>3542</v>
      </c>
      <c r="B4" s="13">
        <v>4270</v>
      </c>
      <c r="C4" s="13">
        <v>5383</v>
      </c>
      <c r="D4" s="13">
        <v>5522</v>
      </c>
      <c r="E4">
        <v>5880</v>
      </c>
      <c r="F4">
        <v>7105</v>
      </c>
      <c r="G4">
        <v>8220</v>
      </c>
      <c r="H4">
        <v>10415</v>
      </c>
      <c r="I4">
        <v>12815</v>
      </c>
      <c r="J4">
        <v>15675</v>
      </c>
      <c r="K4">
        <v>18820</v>
      </c>
      <c r="L4">
        <v>21578</v>
      </c>
      <c r="M4">
        <v>28544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51C58-0D5B-4BDC-9CDC-235DEBBD39C3}">
  <sheetPr>
    <tabColor theme="5" tint="0.39997558519241921"/>
  </sheetPr>
  <dimension ref="A1:K20"/>
  <sheetViews>
    <sheetView topLeftCell="A17" workbookViewId="0">
      <selection activeCell="C35" sqref="C35"/>
    </sheetView>
  </sheetViews>
  <sheetFormatPr baseColWidth="10" defaultColWidth="11.3984375" defaultRowHeight="14.25"/>
  <cols>
    <col min="2" max="2" width="20" bestFit="1" customWidth="1"/>
    <col min="3" max="3" width="29.265625" bestFit="1" customWidth="1"/>
    <col min="4" max="4" width="18.265625" bestFit="1" customWidth="1"/>
    <col min="7" max="7" width="18.3984375" customWidth="1"/>
    <col min="8" max="8" width="20" customWidth="1"/>
    <col min="9" max="9" width="17" bestFit="1" customWidth="1"/>
    <col min="10" max="10" width="5.59765625" bestFit="1" customWidth="1"/>
  </cols>
  <sheetData>
    <row r="1" spans="1:11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9</v>
      </c>
      <c r="I1" s="27" t="s">
        <v>10</v>
      </c>
      <c r="J1" s="28" t="s">
        <v>11</v>
      </c>
      <c r="K1" s="29"/>
    </row>
    <row r="2" spans="1:11">
      <c r="A2" s="30">
        <v>1</v>
      </c>
      <c r="B2" s="31" t="s">
        <v>12</v>
      </c>
      <c r="C2" s="31" t="s">
        <v>12</v>
      </c>
      <c r="D2" s="32">
        <v>53908378733</v>
      </c>
      <c r="E2" s="33">
        <v>23</v>
      </c>
      <c r="F2" s="33">
        <v>1367</v>
      </c>
      <c r="G2" s="33">
        <v>2.02</v>
      </c>
      <c r="H2" s="31" t="s">
        <v>13</v>
      </c>
      <c r="I2" s="31" t="s">
        <v>14</v>
      </c>
      <c r="J2" s="34" t="s">
        <v>15</v>
      </c>
    </row>
    <row r="3" spans="1:11">
      <c r="A3" s="30">
        <v>2</v>
      </c>
      <c r="B3" s="31" t="s">
        <v>16</v>
      </c>
      <c r="C3" s="31" t="s">
        <v>17</v>
      </c>
      <c r="D3" s="32">
        <v>24437339433</v>
      </c>
      <c r="E3" s="33">
        <v>69</v>
      </c>
      <c r="F3" s="33">
        <v>755</v>
      </c>
      <c r="G3" s="33">
        <v>1.52</v>
      </c>
      <c r="H3" s="31" t="s">
        <v>18</v>
      </c>
      <c r="I3" s="31" t="s">
        <v>19</v>
      </c>
      <c r="J3" s="34" t="s">
        <v>15</v>
      </c>
    </row>
    <row r="4" spans="1:11">
      <c r="A4" s="30">
        <v>3</v>
      </c>
      <c r="B4" s="31" t="s">
        <v>20</v>
      </c>
      <c r="C4" s="31" t="s">
        <v>21</v>
      </c>
      <c r="D4" s="32">
        <v>18447808737</v>
      </c>
      <c r="E4" s="33">
        <v>57</v>
      </c>
      <c r="F4" s="33">
        <v>623</v>
      </c>
      <c r="G4" s="33">
        <v>0.76</v>
      </c>
      <c r="H4" s="31" t="s">
        <v>22</v>
      </c>
      <c r="I4" s="31" t="s">
        <v>23</v>
      </c>
      <c r="J4" s="34" t="s">
        <v>15</v>
      </c>
    </row>
    <row r="5" spans="1:11">
      <c r="A5" s="30">
        <v>4</v>
      </c>
      <c r="B5" s="31" t="s">
        <v>20</v>
      </c>
      <c r="C5" s="31" t="s">
        <v>24</v>
      </c>
      <c r="D5" s="32">
        <v>18114661005</v>
      </c>
      <c r="E5" s="33">
        <v>57</v>
      </c>
      <c r="F5" s="33">
        <v>624</v>
      </c>
      <c r="G5" s="33">
        <v>0.76</v>
      </c>
      <c r="H5" s="31" t="s">
        <v>22</v>
      </c>
      <c r="I5" s="31" t="s">
        <v>23</v>
      </c>
      <c r="J5" s="34" t="s">
        <v>15</v>
      </c>
    </row>
    <row r="6" spans="1:11">
      <c r="A6" s="30">
        <v>5</v>
      </c>
      <c r="B6" s="31" t="s">
        <v>25</v>
      </c>
      <c r="C6" s="31" t="s">
        <v>26</v>
      </c>
      <c r="D6" s="32">
        <v>79316865070</v>
      </c>
      <c r="E6" s="33">
        <v>34</v>
      </c>
      <c r="F6" s="33">
        <v>2036</v>
      </c>
      <c r="G6" s="33">
        <v>4</v>
      </c>
      <c r="H6" s="31" t="s">
        <v>27</v>
      </c>
      <c r="I6" s="31" t="s">
        <v>14</v>
      </c>
      <c r="J6" s="34" t="s">
        <v>15</v>
      </c>
    </row>
    <row r="7" spans="1:11">
      <c r="A7" s="30">
        <v>6</v>
      </c>
      <c r="B7" s="31" t="s">
        <v>25</v>
      </c>
      <c r="C7" s="31" t="s">
        <v>28</v>
      </c>
      <c r="D7" s="32">
        <v>83008042889</v>
      </c>
      <c r="E7" s="33">
        <v>38</v>
      </c>
      <c r="F7" s="33">
        <v>2295</v>
      </c>
      <c r="G7" s="33">
        <v>3</v>
      </c>
      <c r="H7" s="31" t="s">
        <v>18</v>
      </c>
      <c r="I7" s="31" t="s">
        <v>14</v>
      </c>
      <c r="J7" s="34" t="s">
        <v>15</v>
      </c>
    </row>
    <row r="8" spans="1:11">
      <c r="A8" s="30">
        <v>7</v>
      </c>
      <c r="B8" s="31" t="s">
        <v>29</v>
      </c>
      <c r="C8" s="31" t="s">
        <v>30</v>
      </c>
      <c r="D8" s="32">
        <v>322709746890</v>
      </c>
      <c r="E8" s="33">
        <v>969</v>
      </c>
      <c r="F8" s="33">
        <v>10664</v>
      </c>
      <c r="G8" s="33">
        <v>11.73</v>
      </c>
      <c r="H8" s="31" t="s">
        <v>27</v>
      </c>
      <c r="I8" s="31" t="s">
        <v>19</v>
      </c>
      <c r="J8" s="34" t="s">
        <v>15</v>
      </c>
    </row>
    <row r="9" spans="1:11">
      <c r="A9" s="30">
        <v>8</v>
      </c>
      <c r="B9" s="31" t="s">
        <v>29</v>
      </c>
      <c r="C9" s="31" t="s">
        <v>31</v>
      </c>
      <c r="D9" s="32">
        <v>30713269905</v>
      </c>
      <c r="E9" s="33">
        <v>91</v>
      </c>
      <c r="F9" s="33">
        <v>1000</v>
      </c>
      <c r="G9" s="33">
        <v>1.2</v>
      </c>
      <c r="H9" s="31" t="s">
        <v>18</v>
      </c>
      <c r="I9" s="31" t="s">
        <v>19</v>
      </c>
      <c r="J9" s="34" t="s">
        <v>15</v>
      </c>
    </row>
    <row r="10" spans="1:11">
      <c r="A10" s="30">
        <v>9</v>
      </c>
      <c r="B10" s="31" t="s">
        <v>32</v>
      </c>
      <c r="C10" s="31" t="s">
        <v>33</v>
      </c>
      <c r="D10" s="32">
        <v>51087244522</v>
      </c>
      <c r="E10" s="33">
        <v>144</v>
      </c>
      <c r="F10" s="33">
        <v>1581</v>
      </c>
      <c r="G10" s="33">
        <v>1.74</v>
      </c>
      <c r="H10" s="31" t="s">
        <v>22</v>
      </c>
      <c r="I10" s="31" t="s">
        <v>19</v>
      </c>
      <c r="J10" s="34" t="s">
        <v>15</v>
      </c>
    </row>
    <row r="11" spans="1:11">
      <c r="A11" s="30">
        <v>10</v>
      </c>
      <c r="B11" s="31" t="s">
        <v>34</v>
      </c>
      <c r="C11" s="31" t="s">
        <v>35</v>
      </c>
      <c r="D11" s="32">
        <v>31420264769</v>
      </c>
      <c r="E11" s="33">
        <v>91</v>
      </c>
      <c r="F11" s="33">
        <v>1003</v>
      </c>
      <c r="G11" s="33">
        <v>1.21</v>
      </c>
      <c r="H11" s="31" t="s">
        <v>18</v>
      </c>
      <c r="I11" s="31" t="s">
        <v>19</v>
      </c>
      <c r="J11" s="34" t="s">
        <v>15</v>
      </c>
    </row>
    <row r="12" spans="1:11">
      <c r="A12" s="30">
        <v>11</v>
      </c>
      <c r="B12" s="31" t="s">
        <v>36</v>
      </c>
      <c r="C12" s="31" t="s">
        <v>37</v>
      </c>
      <c r="D12" s="32">
        <v>27742028640</v>
      </c>
      <c r="E12" s="33">
        <v>78</v>
      </c>
      <c r="F12" s="33">
        <v>862</v>
      </c>
      <c r="G12" s="33">
        <v>0.95</v>
      </c>
      <c r="H12" s="31" t="s">
        <v>22</v>
      </c>
      <c r="I12" s="31" t="s">
        <v>19</v>
      </c>
      <c r="J12" s="34" t="s">
        <v>15</v>
      </c>
    </row>
    <row r="13" spans="1:11" ht="85.5">
      <c r="A13" s="30">
        <v>12</v>
      </c>
      <c r="B13" s="35" t="s">
        <v>38</v>
      </c>
      <c r="C13" s="36" t="s">
        <v>39</v>
      </c>
      <c r="D13" s="32">
        <v>121589085878</v>
      </c>
      <c r="E13" s="33">
        <v>344</v>
      </c>
      <c r="F13" s="33">
        <v>3783</v>
      </c>
      <c r="G13" s="33">
        <v>4.16</v>
      </c>
      <c r="H13" s="31" t="s">
        <v>22</v>
      </c>
      <c r="I13" s="31" t="s">
        <v>19</v>
      </c>
      <c r="J13" s="34" t="s">
        <v>15</v>
      </c>
    </row>
    <row r="14" spans="1:11">
      <c r="A14" s="30">
        <v>13</v>
      </c>
      <c r="B14" s="31" t="s">
        <v>40</v>
      </c>
      <c r="C14" s="31" t="s">
        <v>41</v>
      </c>
      <c r="D14" s="32">
        <v>6880380834</v>
      </c>
      <c r="E14" s="33">
        <v>20</v>
      </c>
      <c r="F14" s="33">
        <v>217</v>
      </c>
      <c r="G14" s="33">
        <v>0.31</v>
      </c>
      <c r="H14" s="31" t="s">
        <v>18</v>
      </c>
      <c r="I14" s="31" t="s">
        <v>19</v>
      </c>
      <c r="J14" s="34" t="s">
        <v>15</v>
      </c>
    </row>
    <row r="15" spans="1:11">
      <c r="A15" s="30">
        <v>14</v>
      </c>
      <c r="B15" s="31" t="s">
        <v>40</v>
      </c>
      <c r="C15" s="31" t="s">
        <v>42</v>
      </c>
      <c r="D15" s="32">
        <v>22802905997</v>
      </c>
      <c r="E15" s="33">
        <v>65</v>
      </c>
      <c r="F15" s="33">
        <v>719</v>
      </c>
      <c r="G15" s="33">
        <v>0.72</v>
      </c>
      <c r="H15" s="31" t="s">
        <v>18</v>
      </c>
      <c r="I15" s="31" t="s">
        <v>19</v>
      </c>
      <c r="J15" s="34" t="s">
        <v>15</v>
      </c>
    </row>
    <row r="16" spans="1:11">
      <c r="A16" s="30">
        <v>15</v>
      </c>
      <c r="B16" s="31" t="s">
        <v>40</v>
      </c>
      <c r="C16" s="31" t="s">
        <v>43</v>
      </c>
      <c r="D16" s="32">
        <v>9349545113</v>
      </c>
      <c r="E16" s="33">
        <v>27</v>
      </c>
      <c r="F16" s="33">
        <v>293</v>
      </c>
      <c r="G16" s="33">
        <v>0.42</v>
      </c>
      <c r="H16" s="31" t="s">
        <v>18</v>
      </c>
      <c r="I16" s="31" t="s">
        <v>19</v>
      </c>
      <c r="J16" s="34" t="s">
        <v>15</v>
      </c>
    </row>
    <row r="17" spans="1:10">
      <c r="A17" s="30">
        <v>16</v>
      </c>
      <c r="B17" s="31" t="s">
        <v>40</v>
      </c>
      <c r="C17" s="31" t="s">
        <v>44</v>
      </c>
      <c r="D17" s="32">
        <v>24764667070</v>
      </c>
      <c r="E17" s="33">
        <v>71</v>
      </c>
      <c r="F17" s="33">
        <v>777</v>
      </c>
      <c r="G17" s="33">
        <v>1.1000000000000001</v>
      </c>
      <c r="H17" s="31" t="s">
        <v>18</v>
      </c>
      <c r="I17" s="31" t="s">
        <v>19</v>
      </c>
      <c r="J17" s="34" t="s">
        <v>15</v>
      </c>
    </row>
    <row r="18" spans="1:10" ht="42.75">
      <c r="A18" s="30">
        <v>17</v>
      </c>
      <c r="B18" s="31" t="s">
        <v>45</v>
      </c>
      <c r="C18" s="37" t="s">
        <v>46</v>
      </c>
      <c r="D18" s="32">
        <v>37573918087</v>
      </c>
      <c r="E18" s="33">
        <v>105</v>
      </c>
      <c r="F18" s="33">
        <v>1158</v>
      </c>
      <c r="G18" s="33">
        <v>1.27</v>
      </c>
      <c r="H18" s="31" t="s">
        <v>22</v>
      </c>
      <c r="I18" s="31" t="s">
        <v>19</v>
      </c>
      <c r="J18" s="34" t="s">
        <v>15</v>
      </c>
    </row>
    <row r="19" spans="1:10" ht="14.65" thickBot="1">
      <c r="A19" s="30">
        <v>18</v>
      </c>
      <c r="B19" s="38" t="s">
        <v>45</v>
      </c>
      <c r="C19" s="38" t="s">
        <v>47</v>
      </c>
      <c r="D19" s="39">
        <v>4402514558</v>
      </c>
      <c r="E19" s="40">
        <v>14</v>
      </c>
      <c r="F19" s="40">
        <v>154</v>
      </c>
      <c r="G19" s="40">
        <v>0.19</v>
      </c>
      <c r="H19" s="38" t="s">
        <v>22</v>
      </c>
      <c r="I19" s="38" t="s">
        <v>19</v>
      </c>
      <c r="J19" s="41" t="s">
        <v>15</v>
      </c>
    </row>
    <row r="20" spans="1:10" ht="14.65" thickBot="1">
      <c r="A20" s="211" t="s">
        <v>48</v>
      </c>
      <c r="B20" s="212"/>
      <c r="C20" s="212"/>
      <c r="D20" s="42">
        <f>+SUM(D2:D19)</f>
        <v>968268668130</v>
      </c>
      <c r="E20" s="43">
        <f>+SUM(E2:E19)</f>
        <v>2297</v>
      </c>
      <c r="F20" s="43">
        <f>+SUM(F2:F19)</f>
        <v>29911</v>
      </c>
      <c r="G20" s="43">
        <f>+SUM(G2:G19)</f>
        <v>37.06</v>
      </c>
      <c r="H20" s="44"/>
      <c r="I20" s="44"/>
      <c r="J20" s="45"/>
    </row>
  </sheetData>
  <autoFilter ref="A1:K20" xr:uid="{00000000-0009-0000-0000-000000000000}"/>
  <mergeCells count="1">
    <mergeCell ref="A20:C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964A8-A494-46D3-A537-B2A073A18B4D}">
  <sheetPr filterMode="1">
    <tabColor theme="5" tint="0.39997558519241921"/>
  </sheetPr>
  <dimension ref="B2:U56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11" sqref="H11"/>
    </sheetView>
  </sheetViews>
  <sheetFormatPr baseColWidth="10" defaultColWidth="11.3984375" defaultRowHeight="14.25"/>
  <cols>
    <col min="1" max="1" width="4.59765625" customWidth="1"/>
    <col min="2" max="2" width="21.265625" hidden="1" customWidth="1"/>
    <col min="3" max="3" width="18.86328125" customWidth="1"/>
    <col min="4" max="4" width="13" customWidth="1"/>
    <col min="5" max="5" width="23.265625" customWidth="1"/>
    <col min="6" max="6" width="19.3984375" customWidth="1"/>
    <col min="7" max="7" width="28.86328125" customWidth="1"/>
    <col min="8" max="8" width="24" customWidth="1"/>
    <col min="9" max="9" width="20.86328125" customWidth="1"/>
    <col min="10" max="10" width="14.1328125" style="1" customWidth="1"/>
    <col min="12" max="12" width="14.1328125" customWidth="1"/>
    <col min="13" max="13" width="12.3984375" customWidth="1"/>
    <col min="14" max="14" width="15.1328125" customWidth="1"/>
    <col min="15" max="15" width="14.86328125" customWidth="1"/>
    <col min="16" max="16" width="10.59765625" customWidth="1"/>
  </cols>
  <sheetData>
    <row r="2" spans="2:16" s="4" customFormat="1" ht="25.5" customHeight="1">
      <c r="C2" s="20" t="s">
        <v>89</v>
      </c>
      <c r="D2" s="20" t="s">
        <v>1</v>
      </c>
      <c r="E2" s="20" t="s">
        <v>90</v>
      </c>
      <c r="F2" s="20" t="s">
        <v>2</v>
      </c>
      <c r="G2" s="20" t="s">
        <v>91</v>
      </c>
      <c r="H2" s="20" t="s">
        <v>92</v>
      </c>
      <c r="I2" s="20" t="s">
        <v>93</v>
      </c>
      <c r="J2" s="20" t="s">
        <v>94</v>
      </c>
      <c r="K2" s="20" t="s">
        <v>95</v>
      </c>
      <c r="L2" s="16" t="s">
        <v>96</v>
      </c>
      <c r="M2" s="16" t="s">
        <v>97</v>
      </c>
      <c r="N2" s="15" t="s">
        <v>98</v>
      </c>
      <c r="O2" s="15" t="s">
        <v>99</v>
      </c>
      <c r="P2" s="21" t="s">
        <v>100</v>
      </c>
    </row>
    <row r="3" spans="2:16">
      <c r="B3" s="17">
        <v>18447808737</v>
      </c>
      <c r="C3" t="s">
        <v>51</v>
      </c>
      <c r="D3" t="s">
        <v>101</v>
      </c>
      <c r="E3" t="s">
        <v>102</v>
      </c>
      <c r="F3" t="s">
        <v>102</v>
      </c>
      <c r="G3" t="s">
        <v>103</v>
      </c>
      <c r="H3" s="1" t="s">
        <v>104</v>
      </c>
      <c r="I3" s="18">
        <f>$B$3/623*L3</f>
        <v>5922249995.8266449</v>
      </c>
      <c r="J3" s="14">
        <v>46162</v>
      </c>
      <c r="K3" s="14" t="s">
        <v>105</v>
      </c>
      <c r="L3" s="1">
        <v>200</v>
      </c>
      <c r="M3" s="1">
        <f>'Seguimiento Diario'!E4</f>
        <v>180</v>
      </c>
      <c r="N3" s="19">
        <f>760/623*L3</f>
        <v>243.98073836276083</v>
      </c>
      <c r="O3" s="19">
        <f>N3/L3*M3</f>
        <v>219.58266452648476</v>
      </c>
      <c r="P3" s="2">
        <f t="shared" ref="P3:P31" si="0">M3/L3</f>
        <v>0.9</v>
      </c>
    </row>
    <row r="4" spans="2:16">
      <c r="B4" s="17">
        <v>18447808737</v>
      </c>
      <c r="C4" t="s">
        <v>51</v>
      </c>
      <c r="D4" t="s">
        <v>101</v>
      </c>
      <c r="E4" t="s">
        <v>102</v>
      </c>
      <c r="F4" t="s">
        <v>102</v>
      </c>
      <c r="G4" t="s">
        <v>103</v>
      </c>
      <c r="H4" s="1" t="s">
        <v>104</v>
      </c>
      <c r="I4" s="18">
        <f t="shared" ref="I4:I5" si="1">$B$3/623*L4</f>
        <v>5922249995.8266449</v>
      </c>
      <c r="J4" s="14">
        <v>46184</v>
      </c>
      <c r="K4" s="14" t="s">
        <v>106</v>
      </c>
      <c r="L4" s="1">
        <v>200</v>
      </c>
      <c r="M4" s="1">
        <f>'Seguimiento Diario'!F4</f>
        <v>0</v>
      </c>
      <c r="N4" s="19">
        <f t="shared" ref="N4:N5" si="2">760/623*L4</f>
        <v>243.98073836276083</v>
      </c>
      <c r="O4" s="19">
        <f t="shared" ref="O4:O53" si="3">N4/L4*M4</f>
        <v>0</v>
      </c>
      <c r="P4" s="2">
        <f t="shared" si="0"/>
        <v>0</v>
      </c>
    </row>
    <row r="5" spans="2:16">
      <c r="C5" t="s">
        <v>51</v>
      </c>
      <c r="D5" t="s">
        <v>101</v>
      </c>
      <c r="E5" t="s">
        <v>102</v>
      </c>
      <c r="F5" t="s">
        <v>102</v>
      </c>
      <c r="G5" t="s">
        <v>103</v>
      </c>
      <c r="H5" s="1" t="s">
        <v>104</v>
      </c>
      <c r="I5" s="18">
        <f t="shared" si="1"/>
        <v>6603308745.3467093</v>
      </c>
      <c r="J5" s="14">
        <v>46228</v>
      </c>
      <c r="K5" s="14" t="s">
        <v>107</v>
      </c>
      <c r="L5" s="1">
        <v>223</v>
      </c>
      <c r="M5" s="1">
        <f>'Seguimiento Diario'!G4</f>
        <v>0</v>
      </c>
      <c r="N5" s="19">
        <f t="shared" si="2"/>
        <v>272.03852327447834</v>
      </c>
      <c r="O5" s="19">
        <f t="shared" si="3"/>
        <v>0</v>
      </c>
      <c r="P5" s="2">
        <f t="shared" si="0"/>
        <v>0</v>
      </c>
    </row>
    <row r="6" spans="2:16">
      <c r="B6" s="17">
        <v>18114661005</v>
      </c>
      <c r="C6" t="s">
        <v>51</v>
      </c>
      <c r="D6" t="s">
        <v>101</v>
      </c>
      <c r="E6" t="s">
        <v>108</v>
      </c>
      <c r="F6" t="s">
        <v>108</v>
      </c>
      <c r="G6" t="s">
        <v>103</v>
      </c>
      <c r="H6" s="1" t="s">
        <v>104</v>
      </c>
      <c r="I6" s="18">
        <f>($B$6/624)*L6</f>
        <v>2902990545.6730766</v>
      </c>
      <c r="J6" s="14">
        <v>46162</v>
      </c>
      <c r="K6" s="14" t="s">
        <v>105</v>
      </c>
      <c r="L6" s="1">
        <v>100</v>
      </c>
      <c r="M6" s="1">
        <f>'Seguimiento Diario'!E5</f>
        <v>0</v>
      </c>
      <c r="N6" s="19">
        <f>(760/624)*L6</f>
        <v>121.79487179487178</v>
      </c>
      <c r="O6" s="19">
        <f t="shared" si="3"/>
        <v>0</v>
      </c>
      <c r="P6" s="2">
        <f t="shared" si="0"/>
        <v>0</v>
      </c>
    </row>
    <row r="7" spans="2:16">
      <c r="C7" t="s">
        <v>51</v>
      </c>
      <c r="D7" t="s">
        <v>101</v>
      </c>
      <c r="E7" t="s">
        <v>108</v>
      </c>
      <c r="F7" t="s">
        <v>108</v>
      </c>
      <c r="G7" t="s">
        <v>103</v>
      </c>
      <c r="H7" s="1" t="s">
        <v>104</v>
      </c>
      <c r="I7" s="18">
        <f t="shared" ref="I7:I8" si="4">($B$6/624)*L7</f>
        <v>4354485818.5096149</v>
      </c>
      <c r="J7" s="14">
        <v>46184</v>
      </c>
      <c r="K7" s="14" t="s">
        <v>106</v>
      </c>
      <c r="L7" s="1">
        <v>150</v>
      </c>
      <c r="M7" s="1">
        <f>'Seguimiento Diario'!F5</f>
        <v>0</v>
      </c>
      <c r="N7" s="19">
        <f t="shared" ref="N7:N8" si="5">(760/624)*L7</f>
        <v>182.69230769230768</v>
      </c>
      <c r="O7" s="19">
        <f t="shared" si="3"/>
        <v>0</v>
      </c>
      <c r="P7" s="2">
        <f t="shared" si="0"/>
        <v>0</v>
      </c>
    </row>
    <row r="8" spans="2:16">
      <c r="C8" t="s">
        <v>51</v>
      </c>
      <c r="D8" t="s">
        <v>101</v>
      </c>
      <c r="E8" t="s">
        <v>108</v>
      </c>
      <c r="F8" t="s">
        <v>108</v>
      </c>
      <c r="G8" t="s">
        <v>103</v>
      </c>
      <c r="H8" s="1" t="s">
        <v>104</v>
      </c>
      <c r="I8" s="18">
        <f t="shared" si="4"/>
        <v>10857184640.817307</v>
      </c>
      <c r="J8" s="14">
        <v>46228</v>
      </c>
      <c r="K8" s="14" t="s">
        <v>107</v>
      </c>
      <c r="L8" s="1">
        <f>624-(L6+L7)</f>
        <v>374</v>
      </c>
      <c r="M8" s="1">
        <f>'Seguimiento Diario'!G5</f>
        <v>0</v>
      </c>
      <c r="N8" s="19">
        <f t="shared" si="5"/>
        <v>455.5128205128205</v>
      </c>
      <c r="O8" s="19">
        <f t="shared" si="3"/>
        <v>0</v>
      </c>
      <c r="P8" s="2">
        <f t="shared" si="0"/>
        <v>0</v>
      </c>
    </row>
    <row r="9" spans="2:16">
      <c r="B9" s="17">
        <v>51087244522</v>
      </c>
      <c r="C9" t="s">
        <v>51</v>
      </c>
      <c r="D9" t="s">
        <v>109</v>
      </c>
      <c r="E9" s="4" t="s">
        <v>110</v>
      </c>
      <c r="F9" s="4" t="s">
        <v>110</v>
      </c>
      <c r="G9" t="s">
        <v>103</v>
      </c>
      <c r="H9" s="1" t="s">
        <v>104</v>
      </c>
      <c r="I9" s="18">
        <f>$B$9/1581*L9</f>
        <v>16156623820.999367</v>
      </c>
      <c r="J9" s="14">
        <v>46184</v>
      </c>
      <c r="K9" s="14" t="s">
        <v>106</v>
      </c>
      <c r="L9" s="1">
        <v>500</v>
      </c>
      <c r="M9" s="1">
        <f>'Seguimiento Diario'!F6</f>
        <v>0</v>
      </c>
      <c r="N9" s="19">
        <f>1740/1581*L9</f>
        <v>550.28462998102464</v>
      </c>
      <c r="O9" s="19">
        <f t="shared" si="3"/>
        <v>0</v>
      </c>
      <c r="P9" s="2">
        <f t="shared" si="0"/>
        <v>0</v>
      </c>
    </row>
    <row r="10" spans="2:16">
      <c r="C10" t="s">
        <v>51</v>
      </c>
      <c r="D10" t="s">
        <v>109</v>
      </c>
      <c r="E10" s="4" t="s">
        <v>110</v>
      </c>
      <c r="F10" s="4" t="s">
        <v>110</v>
      </c>
      <c r="G10" t="s">
        <v>103</v>
      </c>
      <c r="H10" s="1" t="s">
        <v>104</v>
      </c>
      <c r="I10" s="18">
        <f>$B$9/1581*L10</f>
        <v>34930620701.000633</v>
      </c>
      <c r="J10" s="14">
        <v>46228</v>
      </c>
      <c r="K10" s="14" t="s">
        <v>107</v>
      </c>
      <c r="L10" s="1">
        <f>1581-L9</f>
        <v>1081</v>
      </c>
      <c r="M10" s="1">
        <f>'Seguimiento Diario'!G6</f>
        <v>0</v>
      </c>
      <c r="N10" s="19">
        <f>1740/1581*L10</f>
        <v>1189.7153700189754</v>
      </c>
      <c r="O10" s="19">
        <f t="shared" si="3"/>
        <v>0</v>
      </c>
      <c r="P10" s="2">
        <f t="shared" si="0"/>
        <v>0</v>
      </c>
    </row>
    <row r="11" spans="2:16" ht="71.25">
      <c r="B11" s="17">
        <v>37573918087</v>
      </c>
      <c r="C11" t="s">
        <v>51</v>
      </c>
      <c r="D11" t="s">
        <v>111</v>
      </c>
      <c r="E11" s="4" t="s">
        <v>111</v>
      </c>
      <c r="F11" s="4" t="s">
        <v>46</v>
      </c>
      <c r="G11" t="s">
        <v>103</v>
      </c>
      <c r="H11" s="1" t="s">
        <v>104</v>
      </c>
      <c r="I11" s="18">
        <f>$B$11/1158*L11</f>
        <v>22713076563.816925</v>
      </c>
      <c r="J11" s="14">
        <v>46184</v>
      </c>
      <c r="K11" s="14" t="s">
        <v>106</v>
      </c>
      <c r="L11" s="1">
        <v>700</v>
      </c>
      <c r="M11" s="1">
        <f>'Seguimiento Diario'!F7</f>
        <v>0</v>
      </c>
      <c r="N11" s="19">
        <f>1270/1158*L11</f>
        <v>767.70293609671853</v>
      </c>
      <c r="O11" s="19">
        <f t="shared" si="3"/>
        <v>0</v>
      </c>
      <c r="P11" s="2">
        <f t="shared" si="0"/>
        <v>0</v>
      </c>
    </row>
    <row r="12" spans="2:16" ht="71.25">
      <c r="C12" t="s">
        <v>51</v>
      </c>
      <c r="D12" t="s">
        <v>111</v>
      </c>
      <c r="E12" s="4" t="s">
        <v>111</v>
      </c>
      <c r="F12" s="4" t="s">
        <v>46</v>
      </c>
      <c r="G12" t="s">
        <v>103</v>
      </c>
      <c r="H12" s="1" t="s">
        <v>104</v>
      </c>
      <c r="I12" s="18">
        <f>$B$11/1158*L12</f>
        <v>14860841523.183073</v>
      </c>
      <c r="J12" s="14">
        <v>46228</v>
      </c>
      <c r="K12" s="14" t="s">
        <v>107</v>
      </c>
      <c r="L12" s="1">
        <f>1158-L11</f>
        <v>458</v>
      </c>
      <c r="M12" s="1">
        <f>'Seguimiento Diario'!G7</f>
        <v>0</v>
      </c>
      <c r="N12" s="19">
        <f>1270/1158*L12</f>
        <v>502.29706390328153</v>
      </c>
      <c r="O12" s="19">
        <f t="shared" si="3"/>
        <v>0</v>
      </c>
      <c r="P12" s="2">
        <f t="shared" si="0"/>
        <v>0</v>
      </c>
    </row>
    <row r="13" spans="2:16">
      <c r="B13" s="17">
        <v>4402514558</v>
      </c>
      <c r="C13" t="s">
        <v>51</v>
      </c>
      <c r="D13" t="s">
        <v>111</v>
      </c>
      <c r="E13" s="4" t="s">
        <v>112</v>
      </c>
      <c r="F13" s="4" t="s">
        <v>112</v>
      </c>
      <c r="G13" t="s">
        <v>103</v>
      </c>
      <c r="H13" s="1" t="s">
        <v>104</v>
      </c>
      <c r="I13" s="18">
        <f>$B$13/154*L13</f>
        <v>2372783820.2207789</v>
      </c>
      <c r="J13" s="14">
        <v>46184</v>
      </c>
      <c r="K13" s="14" t="s">
        <v>106</v>
      </c>
      <c r="L13" s="1">
        <v>83</v>
      </c>
      <c r="M13" s="1">
        <f>'Seguimiento Diario'!F8</f>
        <v>0</v>
      </c>
      <c r="N13" s="19">
        <f>190/154*L13</f>
        <v>102.40259740259741</v>
      </c>
      <c r="O13" s="19">
        <f t="shared" si="3"/>
        <v>0</v>
      </c>
      <c r="P13" s="2">
        <f t="shared" si="0"/>
        <v>0</v>
      </c>
    </row>
    <row r="14" spans="2:16">
      <c r="C14" t="s">
        <v>51</v>
      </c>
      <c r="D14" t="s">
        <v>111</v>
      </c>
      <c r="E14" s="4" t="s">
        <v>112</v>
      </c>
      <c r="F14" s="4" t="s">
        <v>112</v>
      </c>
      <c r="G14" t="s">
        <v>103</v>
      </c>
      <c r="H14" s="1" t="s">
        <v>104</v>
      </c>
      <c r="I14" s="18">
        <f>$B$13/154*L14</f>
        <v>2029730737.7792206</v>
      </c>
      <c r="J14" s="14">
        <v>46228</v>
      </c>
      <c r="K14" s="14" t="s">
        <v>107</v>
      </c>
      <c r="L14" s="1">
        <f>154-L13</f>
        <v>71</v>
      </c>
      <c r="M14" s="1">
        <f>'Seguimiento Diario'!G8</f>
        <v>0</v>
      </c>
      <c r="N14" s="19">
        <f>190/154*L14</f>
        <v>87.597402597402606</v>
      </c>
      <c r="O14" s="19">
        <f t="shared" si="3"/>
        <v>0</v>
      </c>
      <c r="P14" s="2">
        <f t="shared" si="0"/>
        <v>0</v>
      </c>
    </row>
    <row r="15" spans="2:16">
      <c r="B15" s="17">
        <v>27742028640</v>
      </c>
      <c r="C15" t="s">
        <v>51</v>
      </c>
      <c r="D15" t="s">
        <v>113</v>
      </c>
      <c r="E15" s="4" t="s">
        <v>114</v>
      </c>
      <c r="F15" s="4" t="s">
        <v>114</v>
      </c>
      <c r="G15" t="s">
        <v>103</v>
      </c>
      <c r="H15" s="1" t="s">
        <v>104</v>
      </c>
      <c r="I15" s="18">
        <f>$B$15/862*L15</f>
        <v>321833278.88631094</v>
      </c>
      <c r="J15" s="14">
        <v>46184</v>
      </c>
      <c r="K15" s="14" t="s">
        <v>106</v>
      </c>
      <c r="L15" s="1">
        <v>10</v>
      </c>
      <c r="M15" s="1">
        <f>'Seguimiento Diario'!F9</f>
        <v>0</v>
      </c>
      <c r="N15" s="19">
        <f>950/862*L15</f>
        <v>11.020881670533642</v>
      </c>
      <c r="O15" s="19">
        <f t="shared" si="3"/>
        <v>0</v>
      </c>
      <c r="P15" s="2">
        <f t="shared" si="0"/>
        <v>0</v>
      </c>
    </row>
    <row r="16" spans="2:16">
      <c r="C16" t="s">
        <v>51</v>
      </c>
      <c r="D16" t="s">
        <v>113</v>
      </c>
      <c r="E16" s="4" t="s">
        <v>114</v>
      </c>
      <c r="F16" s="4" t="s">
        <v>114</v>
      </c>
      <c r="G16" t="s">
        <v>103</v>
      </c>
      <c r="H16" s="1" t="s">
        <v>104</v>
      </c>
      <c r="I16" s="18">
        <f>$B$15/862*L16</f>
        <v>27420195361.113689</v>
      </c>
      <c r="J16" s="14">
        <v>46228</v>
      </c>
      <c r="K16" s="14" t="s">
        <v>107</v>
      </c>
      <c r="L16" s="1">
        <f>862-L15</f>
        <v>852</v>
      </c>
      <c r="M16" s="1">
        <f>'Seguimiento Diario'!G9</f>
        <v>0</v>
      </c>
      <c r="N16" s="19">
        <f>950/862*L16</f>
        <v>938.97911832946636</v>
      </c>
      <c r="O16" s="19">
        <f t="shared" si="3"/>
        <v>0</v>
      </c>
      <c r="P16" s="2">
        <f t="shared" si="0"/>
        <v>0</v>
      </c>
    </row>
    <row r="17" spans="2:21">
      <c r="C17" t="s">
        <v>51</v>
      </c>
      <c r="D17" t="s">
        <v>115</v>
      </c>
      <c r="E17" t="s">
        <v>115</v>
      </c>
      <c r="F17" t="s">
        <v>39</v>
      </c>
      <c r="G17" t="s">
        <v>103</v>
      </c>
      <c r="H17" s="1" t="s">
        <v>104</v>
      </c>
      <c r="I17" s="17">
        <v>121589085878</v>
      </c>
      <c r="J17" s="14">
        <v>46228</v>
      </c>
      <c r="K17" s="14" t="s">
        <v>107</v>
      </c>
      <c r="L17" s="1">
        <v>3783</v>
      </c>
      <c r="M17" s="1">
        <f>'Seguimiento Diario'!G10</f>
        <v>0</v>
      </c>
      <c r="N17" s="1">
        <f>4160/3783*L17</f>
        <v>4160</v>
      </c>
      <c r="O17" s="19">
        <f t="shared" si="3"/>
        <v>0</v>
      </c>
      <c r="P17" s="2">
        <f t="shared" si="0"/>
        <v>0</v>
      </c>
    </row>
    <row r="18" spans="2:21" hidden="1">
      <c r="B18" s="17">
        <v>322709746890</v>
      </c>
      <c r="C18" t="s">
        <v>53</v>
      </c>
      <c r="D18" t="s">
        <v>116</v>
      </c>
      <c r="E18" s="4" t="s">
        <v>117</v>
      </c>
      <c r="F18" s="4" t="s">
        <v>117</v>
      </c>
      <c r="G18" t="s">
        <v>103</v>
      </c>
      <c r="H18" s="1" t="s">
        <v>104</v>
      </c>
      <c r="I18" s="18">
        <f>$B$18/10664*L18</f>
        <v>12104641668.792198</v>
      </c>
      <c r="J18" s="14">
        <v>46167</v>
      </c>
      <c r="K18" s="14" t="s">
        <v>105</v>
      </c>
      <c r="L18" s="1">
        <v>400</v>
      </c>
      <c r="M18" s="1">
        <f>'Seguimiento Diario'!E11</f>
        <v>0</v>
      </c>
      <c r="N18" s="19">
        <f>11730/10664*L18</f>
        <v>439.98499624906231</v>
      </c>
      <c r="O18" s="19">
        <f t="shared" si="3"/>
        <v>0</v>
      </c>
      <c r="P18" s="2">
        <f t="shared" si="0"/>
        <v>0</v>
      </c>
    </row>
    <row r="19" spans="2:21" hidden="1">
      <c r="C19" t="s">
        <v>53</v>
      </c>
      <c r="D19" t="s">
        <v>116</v>
      </c>
      <c r="E19" s="4" t="s">
        <v>117</v>
      </c>
      <c r="F19" s="4" t="s">
        <v>117</v>
      </c>
      <c r="G19" t="s">
        <v>103</v>
      </c>
      <c r="H19" s="1" t="s">
        <v>104</v>
      </c>
      <c r="I19" s="18">
        <f t="shared" ref="I19:I20" si="6">$B$18/10664*L19</f>
        <v>12104641668.792198</v>
      </c>
      <c r="J19" s="14">
        <v>46188</v>
      </c>
      <c r="K19" s="14" t="s">
        <v>106</v>
      </c>
      <c r="L19" s="1">
        <v>400</v>
      </c>
      <c r="M19" s="1">
        <f>'Seguimiento Diario'!F11</f>
        <v>0</v>
      </c>
      <c r="N19" s="19">
        <f t="shared" ref="N19:N20" si="7">11730/10664*L19</f>
        <v>439.98499624906231</v>
      </c>
      <c r="O19" s="19">
        <f t="shared" si="3"/>
        <v>0</v>
      </c>
      <c r="P19" s="2">
        <f t="shared" si="0"/>
        <v>0</v>
      </c>
    </row>
    <row r="20" spans="2:21" hidden="1">
      <c r="C20" t="s">
        <v>53</v>
      </c>
      <c r="D20" t="s">
        <v>116</v>
      </c>
      <c r="E20" s="4" t="s">
        <v>117</v>
      </c>
      <c r="F20" s="4" t="s">
        <v>117</v>
      </c>
      <c r="G20" t="s">
        <v>103</v>
      </c>
      <c r="H20" s="1" t="s">
        <v>104</v>
      </c>
      <c r="I20" s="18">
        <f t="shared" si="6"/>
        <v>298500463552.41559</v>
      </c>
      <c r="J20" s="14">
        <v>46228</v>
      </c>
      <c r="K20" s="14" t="s">
        <v>107</v>
      </c>
      <c r="L20" s="1">
        <f>10664-(L18+L19)</f>
        <v>9864</v>
      </c>
      <c r="M20" s="1">
        <f>'Seguimiento Diario'!G11</f>
        <v>0</v>
      </c>
      <c r="N20" s="19">
        <f t="shared" si="7"/>
        <v>10850.030007501877</v>
      </c>
      <c r="O20" s="19">
        <f t="shared" si="3"/>
        <v>0</v>
      </c>
      <c r="P20" s="2">
        <f t="shared" si="0"/>
        <v>0</v>
      </c>
    </row>
    <row r="21" spans="2:21" hidden="1">
      <c r="B21" s="17">
        <v>24437339433</v>
      </c>
      <c r="C21" t="s">
        <v>69</v>
      </c>
      <c r="D21" t="s">
        <v>118</v>
      </c>
      <c r="E21" s="22" t="s">
        <v>119</v>
      </c>
      <c r="F21" s="22" t="s">
        <v>119</v>
      </c>
      <c r="G21" t="s">
        <v>103</v>
      </c>
      <c r="H21" s="1" t="s">
        <v>104</v>
      </c>
      <c r="I21" s="18">
        <f>$B$21/755*L21</f>
        <v>6473467399.4701986</v>
      </c>
      <c r="J21" s="14">
        <v>46162</v>
      </c>
      <c r="K21" s="14" t="s">
        <v>105</v>
      </c>
      <c r="L21" s="1">
        <v>200</v>
      </c>
      <c r="M21" s="1">
        <f>'Seguimiento Diario'!E12</f>
        <v>0</v>
      </c>
      <c r="N21" s="19">
        <f>1520/755*L21</f>
        <v>402.64900662251659</v>
      </c>
      <c r="O21" s="19">
        <f t="shared" si="3"/>
        <v>0</v>
      </c>
      <c r="P21" s="2">
        <f t="shared" si="0"/>
        <v>0</v>
      </c>
    </row>
    <row r="22" spans="2:21" hidden="1">
      <c r="C22" t="s">
        <v>69</v>
      </c>
      <c r="D22" t="s">
        <v>118</v>
      </c>
      <c r="E22" s="22" t="s">
        <v>119</v>
      </c>
      <c r="F22" s="22" t="s">
        <v>119</v>
      </c>
      <c r="G22" t="s">
        <v>103</v>
      </c>
      <c r="H22" s="1" t="s">
        <v>104</v>
      </c>
      <c r="I22" s="18">
        <f t="shared" ref="I22:I23" si="8">$B$21/755*L22</f>
        <v>6473467399.4701986</v>
      </c>
      <c r="J22" s="14">
        <v>46193</v>
      </c>
      <c r="K22" s="14" t="s">
        <v>106</v>
      </c>
      <c r="L22" s="1">
        <v>200</v>
      </c>
      <c r="M22" s="1">
        <f>'Seguimiento Diario'!F12</f>
        <v>0</v>
      </c>
      <c r="N22" s="19">
        <f t="shared" ref="N22:N23" si="9">1520/755*L22</f>
        <v>402.64900662251659</v>
      </c>
      <c r="O22" s="19">
        <f t="shared" si="3"/>
        <v>0</v>
      </c>
      <c r="P22" s="2">
        <f t="shared" si="0"/>
        <v>0</v>
      </c>
    </row>
    <row r="23" spans="2:21" hidden="1">
      <c r="C23" t="s">
        <v>69</v>
      </c>
      <c r="D23" t="s">
        <v>118</v>
      </c>
      <c r="E23" s="22" t="s">
        <v>119</v>
      </c>
      <c r="F23" s="22" t="s">
        <v>119</v>
      </c>
      <c r="G23" t="s">
        <v>103</v>
      </c>
      <c r="H23" s="1" t="s">
        <v>104</v>
      </c>
      <c r="I23" s="18">
        <f t="shared" si="8"/>
        <v>11490404634.059603</v>
      </c>
      <c r="J23" s="14">
        <v>46228</v>
      </c>
      <c r="K23" s="14" t="s">
        <v>107</v>
      </c>
      <c r="L23" s="1">
        <f>755-(L21+L22)</f>
        <v>355</v>
      </c>
      <c r="M23" s="1">
        <f>'Seguimiento Diario'!G12</f>
        <v>0</v>
      </c>
      <c r="N23" s="19">
        <f t="shared" si="9"/>
        <v>714.70198675496692</v>
      </c>
      <c r="O23" s="19">
        <f t="shared" si="3"/>
        <v>0</v>
      </c>
      <c r="P23" s="2">
        <f t="shared" si="0"/>
        <v>0</v>
      </c>
    </row>
    <row r="24" spans="2:21" hidden="1">
      <c r="B24" s="17">
        <v>31420264769</v>
      </c>
      <c r="C24" t="s">
        <v>69</v>
      </c>
      <c r="D24" t="s">
        <v>120</v>
      </c>
      <c r="E24" s="22" t="s">
        <v>121</v>
      </c>
      <c r="F24" s="22" t="s">
        <v>121</v>
      </c>
      <c r="G24" t="s">
        <v>103</v>
      </c>
      <c r="H24" s="1" t="s">
        <v>104</v>
      </c>
      <c r="I24" s="18">
        <f>$B$24/1003*L24</f>
        <v>6265257182.2532396</v>
      </c>
      <c r="J24" s="14">
        <v>46172</v>
      </c>
      <c r="K24" s="14" t="s">
        <v>105</v>
      </c>
      <c r="L24" s="1">
        <v>200</v>
      </c>
      <c r="M24" s="1">
        <f>'Seguimiento Diario'!E13</f>
        <v>0</v>
      </c>
      <c r="N24" s="19">
        <f>1210/1003*L24</f>
        <v>241.27617148554336</v>
      </c>
      <c r="O24" s="19">
        <f t="shared" si="3"/>
        <v>0</v>
      </c>
      <c r="P24" s="2">
        <f t="shared" si="0"/>
        <v>0</v>
      </c>
      <c r="U24" s="3"/>
    </row>
    <row r="25" spans="2:21" hidden="1">
      <c r="C25" t="s">
        <v>69</v>
      </c>
      <c r="D25" t="s">
        <v>120</v>
      </c>
      <c r="E25" s="22" t="s">
        <v>121</v>
      </c>
      <c r="F25" s="22" t="s">
        <v>121</v>
      </c>
      <c r="G25" t="s">
        <v>103</v>
      </c>
      <c r="H25" s="1" t="s">
        <v>104</v>
      </c>
      <c r="I25" s="18">
        <f t="shared" ref="I25:I26" si="10">$B$24/1003*L25</f>
        <v>9397885773.3798599</v>
      </c>
      <c r="J25" s="14">
        <v>46193</v>
      </c>
      <c r="K25" s="14" t="s">
        <v>106</v>
      </c>
      <c r="L25" s="1">
        <v>300</v>
      </c>
      <c r="M25" s="1">
        <f>'Seguimiento Diario'!F13</f>
        <v>0</v>
      </c>
      <c r="N25" s="19">
        <f t="shared" ref="N25:N26" si="11">1210/1003*L25</f>
        <v>361.91425722831502</v>
      </c>
      <c r="O25" s="19">
        <f t="shared" si="3"/>
        <v>0</v>
      </c>
      <c r="P25" s="2">
        <f t="shared" si="0"/>
        <v>0</v>
      </c>
      <c r="U25" s="3"/>
    </row>
    <row r="26" spans="2:21" hidden="1">
      <c r="C26" t="s">
        <v>69</v>
      </c>
      <c r="D26" t="s">
        <v>120</v>
      </c>
      <c r="E26" s="22" t="s">
        <v>121</v>
      </c>
      <c r="F26" s="22" t="s">
        <v>121</v>
      </c>
      <c r="G26" t="s">
        <v>103</v>
      </c>
      <c r="H26" s="1" t="s">
        <v>104</v>
      </c>
      <c r="I26" s="18">
        <f t="shared" si="10"/>
        <v>15757121813.366899</v>
      </c>
      <c r="J26" s="14">
        <v>46228</v>
      </c>
      <c r="K26" s="14" t="s">
        <v>107</v>
      </c>
      <c r="L26" s="1">
        <f>1003-(L24+L25)</f>
        <v>503</v>
      </c>
      <c r="M26" s="1">
        <f>'Seguimiento Diario'!G13</f>
        <v>0</v>
      </c>
      <c r="N26" s="19">
        <f t="shared" si="11"/>
        <v>606.80957128614159</v>
      </c>
      <c r="O26" s="19">
        <f t="shared" si="3"/>
        <v>0</v>
      </c>
      <c r="P26" s="2">
        <f t="shared" si="0"/>
        <v>0</v>
      </c>
      <c r="U26" s="3"/>
    </row>
    <row r="27" spans="2:21" hidden="1">
      <c r="B27" s="17">
        <v>30713269905</v>
      </c>
      <c r="C27" t="s">
        <v>69</v>
      </c>
      <c r="D27" t="s">
        <v>116</v>
      </c>
      <c r="E27" s="22" t="s">
        <v>122</v>
      </c>
      <c r="F27" s="22" t="s">
        <v>122</v>
      </c>
      <c r="G27" t="s">
        <v>103</v>
      </c>
      <c r="H27" s="1" t="s">
        <v>104</v>
      </c>
      <c r="I27" s="18">
        <f>$B$27/1000*L27</f>
        <v>3071326990.5</v>
      </c>
      <c r="J27" s="14">
        <v>46172</v>
      </c>
      <c r="K27" s="14" t="s">
        <v>105</v>
      </c>
      <c r="L27" s="1">
        <v>100</v>
      </c>
      <c r="M27" s="1">
        <f>'Seguimiento Diario'!E14</f>
        <v>0</v>
      </c>
      <c r="N27" s="1">
        <f>1200/1000*L27</f>
        <v>120</v>
      </c>
      <c r="O27" s="19">
        <f t="shared" si="3"/>
        <v>0</v>
      </c>
      <c r="P27" s="2">
        <f t="shared" si="0"/>
        <v>0</v>
      </c>
      <c r="U27" s="3"/>
    </row>
    <row r="28" spans="2:21" hidden="1">
      <c r="C28" t="s">
        <v>69</v>
      </c>
      <c r="D28" t="s">
        <v>116</v>
      </c>
      <c r="E28" s="22" t="s">
        <v>122</v>
      </c>
      <c r="F28" s="22" t="s">
        <v>122</v>
      </c>
      <c r="G28" t="s">
        <v>103</v>
      </c>
      <c r="H28" s="1" t="s">
        <v>104</v>
      </c>
      <c r="I28" s="18">
        <f t="shared" ref="I28:I29" si="12">$B$27/1000*L28</f>
        <v>4606990485.75</v>
      </c>
      <c r="J28" s="14">
        <v>46193</v>
      </c>
      <c r="K28" s="14" t="s">
        <v>106</v>
      </c>
      <c r="L28" s="1">
        <v>150</v>
      </c>
      <c r="M28" s="1">
        <f>'Seguimiento Diario'!F14</f>
        <v>0</v>
      </c>
      <c r="N28" s="1">
        <f t="shared" ref="N28:N29" si="13">1200/1000*L28</f>
        <v>180</v>
      </c>
      <c r="O28" s="19">
        <f t="shared" si="3"/>
        <v>0</v>
      </c>
      <c r="P28" s="2">
        <f t="shared" si="0"/>
        <v>0</v>
      </c>
    </row>
    <row r="29" spans="2:21" hidden="1">
      <c r="C29" t="s">
        <v>69</v>
      </c>
      <c r="D29" t="s">
        <v>116</v>
      </c>
      <c r="E29" s="22" t="s">
        <v>122</v>
      </c>
      <c r="F29" s="22" t="s">
        <v>122</v>
      </c>
      <c r="G29" t="s">
        <v>103</v>
      </c>
      <c r="H29" s="1" t="s">
        <v>104</v>
      </c>
      <c r="I29" s="18">
        <f t="shared" si="12"/>
        <v>23034952428.75</v>
      </c>
      <c r="J29" s="14">
        <v>46228</v>
      </c>
      <c r="K29" s="14" t="s">
        <v>107</v>
      </c>
      <c r="L29" s="1">
        <f>1000-(L27+L28)</f>
        <v>750</v>
      </c>
      <c r="M29" s="1">
        <f>'Seguimiento Diario'!G14</f>
        <v>0</v>
      </c>
      <c r="N29" s="1">
        <f t="shared" si="13"/>
        <v>900</v>
      </c>
      <c r="O29" s="19">
        <f t="shared" si="3"/>
        <v>0</v>
      </c>
      <c r="P29" s="2">
        <f t="shared" si="0"/>
        <v>0</v>
      </c>
    </row>
    <row r="30" spans="2:21" ht="42.75" hidden="1">
      <c r="B30" s="18">
        <f>'[1]Base Actualizada'!$E$23+'[1]Base Actualizada'!$E$24+'[1]Base Actualizada'!$E$25+'[1]Base Actualizada'!$E$26</f>
        <v>63797499014</v>
      </c>
      <c r="C30" t="s">
        <v>69</v>
      </c>
      <c r="D30" t="s">
        <v>123</v>
      </c>
      <c r="E30" s="4" t="s">
        <v>124</v>
      </c>
      <c r="F30" s="4" t="s">
        <v>124</v>
      </c>
      <c r="G30" t="s">
        <v>103</v>
      </c>
      <c r="H30" s="1" t="s">
        <v>104</v>
      </c>
      <c r="I30" s="18">
        <f>$B$30/2006*L30</f>
        <v>12721335795.413759</v>
      </c>
      <c r="J30" s="14">
        <v>46167</v>
      </c>
      <c r="K30" s="14" t="s">
        <v>105</v>
      </c>
      <c r="L30" s="1">
        <v>400</v>
      </c>
      <c r="M30" s="1">
        <f>'Seguimiento Diario'!E15</f>
        <v>0</v>
      </c>
      <c r="N30" s="19">
        <f>2550/2006*L30</f>
        <v>508.47457627118644</v>
      </c>
      <c r="O30" s="19">
        <f t="shared" si="3"/>
        <v>0</v>
      </c>
      <c r="P30" s="2">
        <f t="shared" si="0"/>
        <v>0</v>
      </c>
    </row>
    <row r="31" spans="2:21" ht="42.75" hidden="1">
      <c r="B31" s="5"/>
      <c r="C31" t="s">
        <v>69</v>
      </c>
      <c r="D31" t="s">
        <v>123</v>
      </c>
      <c r="E31" s="4" t="s">
        <v>124</v>
      </c>
      <c r="F31" s="4" t="s">
        <v>124</v>
      </c>
      <c r="G31" t="s">
        <v>103</v>
      </c>
      <c r="H31" s="1" t="s">
        <v>104</v>
      </c>
      <c r="I31" s="18">
        <f>$B$30/2006*L31</f>
        <v>51076163218.586243</v>
      </c>
      <c r="J31" s="14">
        <v>46228</v>
      </c>
      <c r="K31" s="14" t="s">
        <v>107</v>
      </c>
      <c r="L31" s="1">
        <f>2006-L30</f>
        <v>1606</v>
      </c>
      <c r="M31" s="1">
        <f>'Seguimiento Diario'!G15</f>
        <v>0</v>
      </c>
      <c r="N31" s="19">
        <f>2550/2006*L31</f>
        <v>2041.5254237288134</v>
      </c>
      <c r="O31" s="19">
        <f t="shared" si="3"/>
        <v>0</v>
      </c>
      <c r="P31" s="2">
        <f t="shared" si="0"/>
        <v>0</v>
      </c>
    </row>
    <row r="32" spans="2:21" hidden="1">
      <c r="C32" t="s">
        <v>125</v>
      </c>
      <c r="D32" t="s">
        <v>126</v>
      </c>
      <c r="E32" t="s">
        <v>127</v>
      </c>
      <c r="F32" t="s">
        <v>126</v>
      </c>
      <c r="G32" t="s">
        <v>128</v>
      </c>
      <c r="H32" s="1" t="s">
        <v>104</v>
      </c>
      <c r="I32" s="17">
        <v>8256253500</v>
      </c>
      <c r="J32" s="14">
        <v>46162</v>
      </c>
      <c r="K32" s="14" t="s">
        <v>105</v>
      </c>
      <c r="L32" s="1">
        <v>500</v>
      </c>
      <c r="M32" s="1">
        <f>'Seguimiento Diario'!E16</f>
        <v>12</v>
      </c>
      <c r="N32" s="1">
        <v>750</v>
      </c>
      <c r="O32" s="19">
        <f t="shared" si="3"/>
        <v>18</v>
      </c>
      <c r="P32" s="2">
        <f t="shared" ref="P32:P53" si="14">M32/L32</f>
        <v>2.4E-2</v>
      </c>
    </row>
    <row r="33" spans="3:16" hidden="1">
      <c r="C33" t="s">
        <v>125</v>
      </c>
      <c r="D33" t="s">
        <v>126</v>
      </c>
      <c r="E33" t="s">
        <v>127</v>
      </c>
      <c r="F33" t="s">
        <v>126</v>
      </c>
      <c r="G33" t="s">
        <v>128</v>
      </c>
      <c r="H33" s="1" t="s">
        <v>104</v>
      </c>
      <c r="I33" s="17">
        <v>11278042281</v>
      </c>
      <c r="J33" s="14">
        <v>46203</v>
      </c>
      <c r="K33" s="14" t="s">
        <v>106</v>
      </c>
      <c r="L33" s="1">
        <v>683</v>
      </c>
      <c r="M33" s="1">
        <f>'Seguimiento Diario'!F16</f>
        <v>0</v>
      </c>
      <c r="N33" s="1">
        <v>1229.3999999999999</v>
      </c>
      <c r="O33" s="19">
        <f t="shared" si="3"/>
        <v>0</v>
      </c>
      <c r="P33" s="2">
        <f t="shared" si="14"/>
        <v>0</v>
      </c>
    </row>
    <row r="34" spans="3:16" hidden="1">
      <c r="C34" t="s">
        <v>125</v>
      </c>
      <c r="D34" t="s">
        <v>126</v>
      </c>
      <c r="E34" t="s">
        <v>127</v>
      </c>
      <c r="F34" t="s">
        <v>126</v>
      </c>
      <c r="G34" t="s">
        <v>128</v>
      </c>
      <c r="H34" s="1" t="s">
        <v>104</v>
      </c>
      <c r="I34" s="17">
        <v>21746971719</v>
      </c>
      <c r="J34" s="14">
        <v>46233</v>
      </c>
      <c r="K34" s="14" t="s">
        <v>107</v>
      </c>
      <c r="L34" s="1">
        <v>1317</v>
      </c>
      <c r="M34" s="1">
        <f>'Seguimiento Diario'!G16</f>
        <v>0</v>
      </c>
      <c r="N34" s="1">
        <v>2370.6</v>
      </c>
      <c r="O34" s="19">
        <f t="shared" si="3"/>
        <v>0</v>
      </c>
      <c r="P34" s="2">
        <f t="shared" si="14"/>
        <v>0</v>
      </c>
    </row>
    <row r="35" spans="3:16" hidden="1">
      <c r="C35" t="s">
        <v>129</v>
      </c>
      <c r="D35" t="s">
        <v>116</v>
      </c>
      <c r="E35" t="s">
        <v>130</v>
      </c>
      <c r="F35" t="s">
        <v>130</v>
      </c>
      <c r="G35" t="s">
        <v>129</v>
      </c>
      <c r="H35" s="1" t="s">
        <v>104</v>
      </c>
      <c r="I35" s="17">
        <v>56292206192</v>
      </c>
      <c r="J35" s="14">
        <v>46149</v>
      </c>
      <c r="K35" s="14" t="s">
        <v>105</v>
      </c>
      <c r="L35" s="1">
        <v>1344</v>
      </c>
      <c r="M35" s="1">
        <f>'Seguimiento Diario'!E17</f>
        <v>0</v>
      </c>
      <c r="N35" s="1">
        <v>1842.5</v>
      </c>
      <c r="O35" s="19">
        <f t="shared" si="3"/>
        <v>0</v>
      </c>
      <c r="P35" s="2">
        <f t="shared" si="14"/>
        <v>0</v>
      </c>
    </row>
    <row r="36" spans="3:16" hidden="1">
      <c r="C36" t="s">
        <v>129</v>
      </c>
      <c r="D36" t="s">
        <v>131</v>
      </c>
      <c r="E36" t="s">
        <v>132</v>
      </c>
      <c r="F36" t="s">
        <v>132</v>
      </c>
      <c r="G36" t="s">
        <v>129</v>
      </c>
      <c r="H36" s="1" t="s">
        <v>104</v>
      </c>
      <c r="I36" s="17">
        <v>11930657218</v>
      </c>
      <c r="J36" s="14">
        <v>46163</v>
      </c>
      <c r="K36" s="14" t="s">
        <v>105</v>
      </c>
      <c r="L36" s="1">
        <v>376</v>
      </c>
      <c r="M36" s="1">
        <f>'Seguimiento Diario'!E18</f>
        <v>0</v>
      </c>
      <c r="N36" s="1">
        <v>503.84</v>
      </c>
      <c r="O36" s="19">
        <f t="shared" si="3"/>
        <v>0</v>
      </c>
      <c r="P36" s="2">
        <f t="shared" si="14"/>
        <v>0</v>
      </c>
    </row>
    <row r="37" spans="3:16" hidden="1">
      <c r="C37" t="s">
        <v>129</v>
      </c>
      <c r="D37" t="s">
        <v>131</v>
      </c>
      <c r="E37" t="s">
        <v>133</v>
      </c>
      <c r="F37" t="s">
        <v>133</v>
      </c>
      <c r="G37" t="s">
        <v>129</v>
      </c>
      <c r="H37" s="1" t="s">
        <v>104</v>
      </c>
      <c r="I37" s="17">
        <v>959419512</v>
      </c>
      <c r="J37" s="14">
        <v>46164</v>
      </c>
      <c r="K37" s="14" t="s">
        <v>105</v>
      </c>
      <c r="L37" s="1">
        <v>80</v>
      </c>
      <c r="M37" s="1">
        <f>'Seguimiento Diario'!E19</f>
        <v>0</v>
      </c>
      <c r="N37" s="1">
        <v>58.08</v>
      </c>
      <c r="O37" s="19">
        <f t="shared" si="3"/>
        <v>0</v>
      </c>
      <c r="P37" s="2">
        <f t="shared" si="14"/>
        <v>0</v>
      </c>
    </row>
    <row r="38" spans="3:16" hidden="1">
      <c r="C38" t="s">
        <v>129</v>
      </c>
      <c r="D38" t="s">
        <v>131</v>
      </c>
      <c r="E38" t="s">
        <v>134</v>
      </c>
      <c r="F38" t="s">
        <v>134</v>
      </c>
      <c r="G38" t="s">
        <v>129</v>
      </c>
      <c r="H38" s="1" t="s">
        <v>104</v>
      </c>
      <c r="I38" s="17">
        <v>7817475406</v>
      </c>
      <c r="J38" s="14">
        <v>46169</v>
      </c>
      <c r="K38" s="14" t="s">
        <v>105</v>
      </c>
      <c r="L38" s="1">
        <v>247</v>
      </c>
      <c r="M38" s="1">
        <f>'Seguimiento Diario'!E20</f>
        <v>0</v>
      </c>
      <c r="N38" s="1">
        <v>330.98</v>
      </c>
      <c r="O38" s="19">
        <f t="shared" si="3"/>
        <v>0</v>
      </c>
      <c r="P38" s="2">
        <f t="shared" si="14"/>
        <v>0</v>
      </c>
    </row>
    <row r="39" spans="3:16" hidden="1">
      <c r="C39" t="s">
        <v>129</v>
      </c>
      <c r="D39" t="s">
        <v>116</v>
      </c>
      <c r="E39" t="s">
        <v>135</v>
      </c>
      <c r="F39" t="s">
        <v>135</v>
      </c>
      <c r="G39" t="s">
        <v>129</v>
      </c>
      <c r="H39" s="1" t="s">
        <v>104</v>
      </c>
      <c r="I39" s="17">
        <v>10294382128</v>
      </c>
      <c r="J39" s="14">
        <v>46149</v>
      </c>
      <c r="K39" s="14" t="s">
        <v>105</v>
      </c>
      <c r="L39" s="1">
        <v>395</v>
      </c>
      <c r="M39" s="1">
        <f>'Seguimiento Diario'!E21</f>
        <v>0</v>
      </c>
      <c r="N39" s="1">
        <v>323.89999999999998</v>
      </c>
      <c r="O39" s="19">
        <f t="shared" si="3"/>
        <v>0</v>
      </c>
      <c r="P39" s="2">
        <f t="shared" si="14"/>
        <v>0</v>
      </c>
    </row>
    <row r="40" spans="3:16" hidden="1">
      <c r="C40" t="s">
        <v>129</v>
      </c>
      <c r="D40" t="s">
        <v>136</v>
      </c>
      <c r="E40" t="s">
        <v>137</v>
      </c>
      <c r="F40" t="s">
        <v>137</v>
      </c>
      <c r="G40" t="s">
        <v>129</v>
      </c>
      <c r="H40" s="1" t="s">
        <v>104</v>
      </c>
      <c r="I40" s="17">
        <v>7215361382</v>
      </c>
      <c r="J40" s="14">
        <v>46190</v>
      </c>
      <c r="K40" s="14" t="s">
        <v>106</v>
      </c>
      <c r="L40" s="1">
        <v>228</v>
      </c>
      <c r="M40" s="1">
        <f>'Seguimiento Diario'!F22</f>
        <v>0</v>
      </c>
      <c r="N40" s="1">
        <v>250.8</v>
      </c>
      <c r="O40" s="19">
        <f t="shared" si="3"/>
        <v>0</v>
      </c>
      <c r="P40" s="2">
        <f t="shared" si="14"/>
        <v>0</v>
      </c>
    </row>
    <row r="41" spans="3:16" hidden="1">
      <c r="C41" t="s">
        <v>138</v>
      </c>
      <c r="D41" t="s">
        <v>139</v>
      </c>
      <c r="E41" t="s">
        <v>140</v>
      </c>
      <c r="F41" t="s">
        <v>140</v>
      </c>
      <c r="G41" t="s">
        <v>141</v>
      </c>
      <c r="H41" s="1" t="s">
        <v>142</v>
      </c>
      <c r="I41" s="17">
        <v>7623200000</v>
      </c>
      <c r="J41" s="14">
        <v>46203</v>
      </c>
      <c r="K41" s="14" t="s">
        <v>106</v>
      </c>
      <c r="L41" s="1">
        <v>500</v>
      </c>
      <c r="M41" s="1">
        <f>'Seguimiento Diario'!F23</f>
        <v>0</v>
      </c>
      <c r="N41" s="1">
        <v>1000</v>
      </c>
      <c r="O41" s="19">
        <f t="shared" si="3"/>
        <v>0</v>
      </c>
      <c r="P41" s="2">
        <f t="shared" si="14"/>
        <v>0</v>
      </c>
    </row>
    <row r="42" spans="3:16" hidden="1">
      <c r="C42" t="s">
        <v>138</v>
      </c>
      <c r="D42" t="s">
        <v>143</v>
      </c>
      <c r="E42" t="s">
        <v>144</v>
      </c>
      <c r="F42" t="s">
        <v>144</v>
      </c>
      <c r="G42" t="s">
        <v>141</v>
      </c>
      <c r="H42" s="1" t="s">
        <v>142</v>
      </c>
      <c r="I42" s="17">
        <v>1903500000</v>
      </c>
      <c r="J42" s="14">
        <v>46203</v>
      </c>
      <c r="K42" s="14" t="s">
        <v>106</v>
      </c>
      <c r="L42" s="1">
        <v>150</v>
      </c>
      <c r="M42" s="1">
        <f>'Seguimiento Diario'!F24</f>
        <v>0</v>
      </c>
      <c r="N42" s="1">
        <v>265</v>
      </c>
      <c r="O42" s="19">
        <f t="shared" si="3"/>
        <v>0</v>
      </c>
      <c r="P42" s="2">
        <f t="shared" si="14"/>
        <v>0</v>
      </c>
    </row>
    <row r="43" spans="3:16" hidden="1">
      <c r="C43" t="s">
        <v>138</v>
      </c>
      <c r="D43" t="s">
        <v>143</v>
      </c>
      <c r="E43" t="s">
        <v>145</v>
      </c>
      <c r="F43" t="s">
        <v>145</v>
      </c>
      <c r="G43" t="s">
        <v>141</v>
      </c>
      <c r="H43" s="1" t="s">
        <v>142</v>
      </c>
      <c r="I43" s="17">
        <v>283500000</v>
      </c>
      <c r="J43" s="14">
        <v>46172</v>
      </c>
      <c r="K43" s="14" t="s">
        <v>105</v>
      </c>
      <c r="L43" s="1">
        <v>60</v>
      </c>
      <c r="M43" s="1">
        <f>'Seguimiento Diario'!E25</f>
        <v>0</v>
      </c>
      <c r="N43" s="1">
        <v>30</v>
      </c>
      <c r="O43" s="19">
        <f t="shared" si="3"/>
        <v>0</v>
      </c>
      <c r="P43" s="2">
        <f t="shared" si="14"/>
        <v>0</v>
      </c>
    </row>
    <row r="44" spans="3:16" hidden="1">
      <c r="C44" t="s">
        <v>138</v>
      </c>
      <c r="D44" t="s">
        <v>143</v>
      </c>
      <c r="E44" t="s">
        <v>146</v>
      </c>
      <c r="F44" t="s">
        <v>146</v>
      </c>
      <c r="G44" t="s">
        <v>141</v>
      </c>
      <c r="H44" s="1" t="s">
        <v>142</v>
      </c>
      <c r="I44" s="17">
        <v>8245082995.6800003</v>
      </c>
      <c r="J44" s="14">
        <v>46157</v>
      </c>
      <c r="K44" s="14" t="s">
        <v>105</v>
      </c>
      <c r="L44" s="1">
        <v>500</v>
      </c>
      <c r="M44" s="1">
        <f>'Seguimiento Diario'!E26</f>
        <v>0</v>
      </c>
      <c r="N44" s="1">
        <v>2000</v>
      </c>
      <c r="O44" s="19">
        <f t="shared" si="3"/>
        <v>0</v>
      </c>
      <c r="P44" s="2">
        <f t="shared" si="14"/>
        <v>0</v>
      </c>
    </row>
    <row r="45" spans="3:16" hidden="1">
      <c r="C45" t="s">
        <v>138</v>
      </c>
      <c r="D45" t="s">
        <v>143</v>
      </c>
      <c r="E45" t="s">
        <v>147</v>
      </c>
      <c r="F45" t="s">
        <v>147</v>
      </c>
      <c r="G45" t="s">
        <v>141</v>
      </c>
      <c r="H45" s="1" t="s">
        <v>142</v>
      </c>
      <c r="I45" s="17">
        <v>8245082995.6800003</v>
      </c>
      <c r="J45" s="14">
        <v>46203</v>
      </c>
      <c r="K45" s="14" t="s">
        <v>106</v>
      </c>
      <c r="L45" s="1">
        <v>500</v>
      </c>
      <c r="M45" s="1">
        <f>'Seguimiento Diario'!F27</f>
        <v>0</v>
      </c>
      <c r="N45" s="1">
        <v>1000</v>
      </c>
      <c r="O45" s="19">
        <f t="shared" si="3"/>
        <v>0</v>
      </c>
      <c r="P45" s="2">
        <f t="shared" si="14"/>
        <v>0</v>
      </c>
    </row>
    <row r="46" spans="3:16" hidden="1">
      <c r="C46" t="s">
        <v>138</v>
      </c>
      <c r="D46" t="s">
        <v>148</v>
      </c>
      <c r="E46" t="s">
        <v>149</v>
      </c>
      <c r="F46" t="s">
        <v>149</v>
      </c>
      <c r="G46" t="s">
        <v>141</v>
      </c>
      <c r="H46" s="1" t="s">
        <v>142</v>
      </c>
      <c r="I46" s="17">
        <v>6900000000</v>
      </c>
      <c r="J46" s="14">
        <v>46172</v>
      </c>
      <c r="K46" s="14" t="s">
        <v>105</v>
      </c>
      <c r="L46" s="1">
        <v>500</v>
      </c>
      <c r="M46" s="1">
        <f>'Seguimiento Diario'!E28</f>
        <v>0</v>
      </c>
      <c r="N46" s="1">
        <v>2000</v>
      </c>
      <c r="O46" s="19">
        <f t="shared" si="3"/>
        <v>0</v>
      </c>
      <c r="P46" s="2">
        <f t="shared" si="14"/>
        <v>0</v>
      </c>
    </row>
    <row r="47" spans="3:16" hidden="1">
      <c r="C47" t="s">
        <v>138</v>
      </c>
      <c r="D47" t="s">
        <v>148</v>
      </c>
      <c r="E47" t="s">
        <v>150</v>
      </c>
      <c r="F47" t="s">
        <v>150</v>
      </c>
      <c r="G47" t="s">
        <v>141</v>
      </c>
      <c r="H47" s="1" t="s">
        <v>142</v>
      </c>
      <c r="I47" s="17">
        <v>6900000000</v>
      </c>
      <c r="J47" s="14">
        <v>46249</v>
      </c>
      <c r="K47" s="14" t="s">
        <v>151</v>
      </c>
      <c r="L47" s="1">
        <v>210</v>
      </c>
      <c r="M47" s="1">
        <f>'Seguimiento Diario'!H29</f>
        <v>0</v>
      </c>
      <c r="N47" s="1">
        <v>500</v>
      </c>
      <c r="O47" s="19">
        <f t="shared" si="3"/>
        <v>0</v>
      </c>
      <c r="P47" s="2">
        <f t="shared" si="14"/>
        <v>0</v>
      </c>
    </row>
    <row r="48" spans="3:16" hidden="1">
      <c r="C48" t="s">
        <v>138</v>
      </c>
      <c r="D48" t="s">
        <v>152</v>
      </c>
      <c r="E48" t="s">
        <v>153</v>
      </c>
      <c r="F48" t="s">
        <v>153</v>
      </c>
      <c r="G48" t="s">
        <v>141</v>
      </c>
      <c r="H48" s="1" t="s">
        <v>142</v>
      </c>
      <c r="I48" s="17">
        <v>5830684998.54</v>
      </c>
      <c r="J48" s="14">
        <v>46203</v>
      </c>
      <c r="K48" s="14" t="s">
        <v>106</v>
      </c>
      <c r="L48" s="1">
        <v>500</v>
      </c>
      <c r="M48" s="1">
        <f>'Seguimiento Diario'!F30</f>
        <v>0</v>
      </c>
      <c r="N48" s="1">
        <v>1000</v>
      </c>
      <c r="O48" s="19">
        <f t="shared" si="3"/>
        <v>0</v>
      </c>
      <c r="P48" s="2">
        <f t="shared" si="14"/>
        <v>0</v>
      </c>
    </row>
    <row r="49" spans="3:16" hidden="1">
      <c r="C49" t="s">
        <v>138</v>
      </c>
      <c r="D49" t="s">
        <v>154</v>
      </c>
      <c r="E49" t="s">
        <v>155</v>
      </c>
      <c r="F49" t="s">
        <v>155</v>
      </c>
      <c r="G49" t="s">
        <v>141</v>
      </c>
      <c r="H49" s="1" t="s">
        <v>142</v>
      </c>
      <c r="I49" s="17">
        <v>6540000000</v>
      </c>
      <c r="J49" s="14">
        <v>46172</v>
      </c>
      <c r="K49" s="14" t="s">
        <v>105</v>
      </c>
      <c r="L49" s="1">
        <v>500</v>
      </c>
      <c r="M49" s="1">
        <f>'Seguimiento Diario'!E31</f>
        <v>0</v>
      </c>
      <c r="N49" s="1">
        <v>1000</v>
      </c>
      <c r="O49" s="19">
        <f t="shared" si="3"/>
        <v>0</v>
      </c>
      <c r="P49" s="2">
        <f t="shared" si="14"/>
        <v>0</v>
      </c>
    </row>
    <row r="50" spans="3:16" hidden="1">
      <c r="C50" t="s">
        <v>138</v>
      </c>
      <c r="D50" t="s">
        <v>154</v>
      </c>
      <c r="E50" t="s">
        <v>156</v>
      </c>
      <c r="F50" t="s">
        <v>156</v>
      </c>
      <c r="G50" t="s">
        <v>141</v>
      </c>
      <c r="H50" s="1" t="s">
        <v>142</v>
      </c>
      <c r="I50" s="17">
        <v>6540000000</v>
      </c>
      <c r="J50" s="14">
        <v>46203</v>
      </c>
      <c r="K50" s="14" t="s">
        <v>106</v>
      </c>
      <c r="L50" s="1">
        <v>500</v>
      </c>
      <c r="M50" s="1">
        <f>'Seguimiento Diario'!F32</f>
        <v>0</v>
      </c>
      <c r="N50" s="1">
        <v>1000</v>
      </c>
      <c r="O50" s="19">
        <f t="shared" si="3"/>
        <v>0</v>
      </c>
      <c r="P50" s="2">
        <f t="shared" si="14"/>
        <v>0</v>
      </c>
    </row>
    <row r="51" spans="3:16" hidden="1">
      <c r="C51" t="s">
        <v>138</v>
      </c>
      <c r="D51" t="s">
        <v>154</v>
      </c>
      <c r="E51" t="s">
        <v>157</v>
      </c>
      <c r="F51" t="s">
        <v>157</v>
      </c>
      <c r="G51" t="s">
        <v>141</v>
      </c>
      <c r="H51" s="1" t="s">
        <v>142</v>
      </c>
      <c r="I51" s="17">
        <v>6540000000</v>
      </c>
      <c r="J51" s="14">
        <v>46218</v>
      </c>
      <c r="K51" s="14" t="s">
        <v>107</v>
      </c>
      <c r="L51" s="1">
        <v>500</v>
      </c>
      <c r="M51" s="1">
        <f>'Seguimiento Diario'!G33</f>
        <v>0</v>
      </c>
      <c r="N51" s="1">
        <v>1000</v>
      </c>
      <c r="O51" s="19">
        <f t="shared" si="3"/>
        <v>0</v>
      </c>
      <c r="P51" s="2">
        <f t="shared" si="14"/>
        <v>0</v>
      </c>
    </row>
    <row r="52" spans="3:16" hidden="1">
      <c r="C52" t="s">
        <v>138</v>
      </c>
      <c r="D52" t="s">
        <v>158</v>
      </c>
      <c r="E52" t="s">
        <v>159</v>
      </c>
      <c r="F52" t="s">
        <v>159</v>
      </c>
      <c r="G52" t="s">
        <v>141</v>
      </c>
      <c r="H52" s="1" t="s">
        <v>142</v>
      </c>
      <c r="I52" s="17">
        <v>684600000</v>
      </c>
      <c r="J52" s="14">
        <v>46203</v>
      </c>
      <c r="K52" s="14" t="s">
        <v>106</v>
      </c>
      <c r="L52" s="1">
        <v>100</v>
      </c>
      <c r="M52" s="1">
        <f>'Seguimiento Diario'!F34</f>
        <v>0</v>
      </c>
      <c r="N52" s="1">
        <v>105</v>
      </c>
      <c r="O52" s="19">
        <f t="shared" si="3"/>
        <v>0</v>
      </c>
      <c r="P52" s="2">
        <f t="shared" si="14"/>
        <v>0</v>
      </c>
    </row>
    <row r="53" spans="3:16" hidden="1">
      <c r="C53" t="s">
        <v>138</v>
      </c>
      <c r="D53" t="s">
        <v>158</v>
      </c>
      <c r="E53" t="s">
        <v>160</v>
      </c>
      <c r="F53" t="s">
        <v>160</v>
      </c>
      <c r="G53" t="s">
        <v>141</v>
      </c>
      <c r="H53" s="1" t="s">
        <v>142</v>
      </c>
      <c r="I53" s="17">
        <v>1128000000</v>
      </c>
      <c r="J53" s="14">
        <v>46203</v>
      </c>
      <c r="K53" s="14" t="s">
        <v>106</v>
      </c>
      <c r="L53" s="1">
        <v>210</v>
      </c>
      <c r="M53" s="1">
        <f>'Seguimiento Diario'!F35</f>
        <v>0</v>
      </c>
      <c r="N53" s="1">
        <v>240</v>
      </c>
      <c r="O53" s="19">
        <f t="shared" si="3"/>
        <v>0</v>
      </c>
      <c r="P53" s="2">
        <f t="shared" si="14"/>
        <v>0</v>
      </c>
    </row>
    <row r="56" spans="3:16">
      <c r="I56" s="17">
        <f>SUBTOTAL(9,I32:I55)</f>
        <v>0</v>
      </c>
    </row>
  </sheetData>
  <autoFilter ref="C2:P53" xr:uid="{FF0964A8-A494-46D3-A537-B2A073A18B4D}">
    <filterColumn colId="0">
      <filters>
        <filter val="Electrocaqueta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BFF8-E932-47B5-A33E-DF0895A6CD0C}">
  <sheetPr>
    <tabColor theme="5" tint="0.39997558519241921"/>
    <pageSetUpPr fitToPage="1"/>
  </sheetPr>
  <dimension ref="A1:I63"/>
  <sheetViews>
    <sheetView zoomScale="85" zoomScaleNormal="85" workbookViewId="0">
      <selection activeCell="N15" sqref="N15"/>
    </sheetView>
  </sheetViews>
  <sheetFormatPr baseColWidth="10" defaultColWidth="11.3984375" defaultRowHeight="14.25"/>
  <cols>
    <col min="1" max="1" width="19.265625" customWidth="1"/>
    <col min="2" max="2" width="25.3984375" customWidth="1"/>
    <col min="3" max="3" width="9" bestFit="1" customWidth="1"/>
    <col min="4" max="4" width="16.86328125" bestFit="1" customWidth="1"/>
    <col min="5" max="5" width="10.3984375" bestFit="1" customWidth="1"/>
    <col min="6" max="7" width="15.3984375" bestFit="1" customWidth="1"/>
    <col min="8" max="8" width="10.265625" bestFit="1" customWidth="1"/>
    <col min="9" max="9" width="20" bestFit="1" customWidth="1"/>
  </cols>
  <sheetData>
    <row r="1" spans="1:9">
      <c r="A1" s="6" t="s">
        <v>95</v>
      </c>
      <c r="B1" t="s">
        <v>75</v>
      </c>
    </row>
    <row r="2" spans="1:9">
      <c r="A2" s="6" t="s">
        <v>91</v>
      </c>
      <c r="B2" t="s">
        <v>75</v>
      </c>
    </row>
    <row r="4" spans="1:9" s="4" customFormat="1">
      <c r="A4"/>
      <c r="B4"/>
      <c r="C4"/>
      <c r="D4" s="6" t="s">
        <v>161</v>
      </c>
      <c r="E4"/>
      <c r="F4"/>
      <c r="G4"/>
      <c r="H4"/>
      <c r="I4"/>
    </row>
    <row r="5" spans="1:9" ht="57">
      <c r="A5" s="25" t="s">
        <v>162</v>
      </c>
      <c r="B5" s="25" t="s">
        <v>90</v>
      </c>
      <c r="C5" s="25" t="s">
        <v>94</v>
      </c>
      <c r="D5" s="4" t="s">
        <v>163</v>
      </c>
      <c r="E5" s="4" t="s">
        <v>164</v>
      </c>
      <c r="F5" s="4" t="s">
        <v>165</v>
      </c>
      <c r="G5" s="4" t="s">
        <v>166</v>
      </c>
      <c r="H5" s="4" t="s">
        <v>167</v>
      </c>
      <c r="I5" t="s">
        <v>168</v>
      </c>
    </row>
    <row r="6" spans="1:9">
      <c r="A6" t="s">
        <v>53</v>
      </c>
      <c r="B6" t="s">
        <v>117</v>
      </c>
      <c r="C6" s="3">
        <v>46167</v>
      </c>
      <c r="D6" s="13">
        <v>400</v>
      </c>
      <c r="E6">
        <v>0</v>
      </c>
      <c r="F6" s="13">
        <v>439.98499624906231</v>
      </c>
      <c r="G6" s="24">
        <v>0</v>
      </c>
      <c r="H6" s="12">
        <v>0</v>
      </c>
      <c r="I6" s="18">
        <v>12104641668.792198</v>
      </c>
    </row>
    <row r="7" spans="1:9">
      <c r="C7" s="3">
        <v>46228</v>
      </c>
      <c r="D7" s="13">
        <v>9864</v>
      </c>
      <c r="E7">
        <v>0</v>
      </c>
      <c r="F7" s="13">
        <v>10850.030007501877</v>
      </c>
      <c r="G7" s="24">
        <v>0</v>
      </c>
      <c r="H7" s="12">
        <v>0</v>
      </c>
      <c r="I7" s="18">
        <v>298500463552.41559</v>
      </c>
    </row>
    <row r="8" spans="1:9">
      <c r="C8" s="3">
        <v>46188</v>
      </c>
      <c r="D8" s="13">
        <v>400</v>
      </c>
      <c r="E8">
        <v>0</v>
      </c>
      <c r="F8" s="13">
        <v>439.98499624906231</v>
      </c>
      <c r="G8" s="24">
        <v>0</v>
      </c>
      <c r="H8" s="12">
        <v>0</v>
      </c>
      <c r="I8" s="18">
        <v>12104641668.792198</v>
      </c>
    </row>
    <row r="9" spans="1:9">
      <c r="A9" t="s">
        <v>169</v>
      </c>
      <c r="D9" s="13">
        <v>10664</v>
      </c>
      <c r="E9">
        <v>0</v>
      </c>
      <c r="F9" s="13">
        <v>11730.000000000002</v>
      </c>
      <c r="G9" s="24">
        <v>0</v>
      </c>
      <c r="H9" s="12">
        <v>0</v>
      </c>
      <c r="I9" s="18">
        <v>322709746889.99994</v>
      </c>
    </row>
    <row r="10" spans="1:9">
      <c r="A10" t="s">
        <v>51</v>
      </c>
      <c r="B10" t="s">
        <v>102</v>
      </c>
      <c r="C10" s="3">
        <v>46162</v>
      </c>
      <c r="D10" s="13">
        <v>200</v>
      </c>
      <c r="E10">
        <v>180</v>
      </c>
      <c r="F10" s="13">
        <v>243.98073836276083</v>
      </c>
      <c r="G10" s="24">
        <v>219.58266452648476</v>
      </c>
      <c r="H10" s="12">
        <v>0.9</v>
      </c>
      <c r="I10" s="18">
        <v>5922249995.8266449</v>
      </c>
    </row>
    <row r="11" spans="1:9">
      <c r="C11" s="3">
        <v>46184</v>
      </c>
      <c r="D11" s="13">
        <v>200</v>
      </c>
      <c r="E11">
        <v>0</v>
      </c>
      <c r="F11" s="13">
        <v>243.98073836276083</v>
      </c>
      <c r="G11" s="24">
        <v>0</v>
      </c>
      <c r="H11" s="12">
        <v>0</v>
      </c>
      <c r="I11" s="18">
        <v>5922249995.8266449</v>
      </c>
    </row>
    <row r="12" spans="1:9">
      <c r="C12" s="3">
        <v>46228</v>
      </c>
      <c r="D12" s="13">
        <v>223</v>
      </c>
      <c r="E12">
        <v>0</v>
      </c>
      <c r="F12" s="13">
        <v>272.03852327447834</v>
      </c>
      <c r="G12" s="24">
        <v>0</v>
      </c>
      <c r="H12" s="12">
        <v>0</v>
      </c>
      <c r="I12" s="18">
        <v>6603308745.3467093</v>
      </c>
    </row>
    <row r="13" spans="1:9">
      <c r="B13" t="s">
        <v>108</v>
      </c>
      <c r="C13" s="3">
        <v>46162</v>
      </c>
      <c r="D13" s="13">
        <v>100</v>
      </c>
      <c r="E13">
        <v>0</v>
      </c>
      <c r="F13" s="13">
        <v>121.79487179487178</v>
      </c>
      <c r="G13" s="24">
        <v>0</v>
      </c>
      <c r="H13" s="12">
        <v>0</v>
      </c>
      <c r="I13" s="18">
        <v>2902990545.6730766</v>
      </c>
    </row>
    <row r="14" spans="1:9">
      <c r="C14" s="3">
        <v>46184</v>
      </c>
      <c r="D14" s="13">
        <v>150</v>
      </c>
      <c r="E14">
        <v>0</v>
      </c>
      <c r="F14" s="13">
        <v>182.69230769230768</v>
      </c>
      <c r="G14" s="24">
        <v>0</v>
      </c>
      <c r="H14" s="12">
        <v>0</v>
      </c>
      <c r="I14" s="18">
        <v>4354485818.5096149</v>
      </c>
    </row>
    <row r="15" spans="1:9">
      <c r="C15" s="3">
        <v>46228</v>
      </c>
      <c r="D15" s="13">
        <v>374</v>
      </c>
      <c r="E15">
        <v>0</v>
      </c>
      <c r="F15" s="13">
        <v>455.5128205128205</v>
      </c>
      <c r="G15" s="24">
        <v>0</v>
      </c>
      <c r="H15" s="12">
        <v>0</v>
      </c>
      <c r="I15" s="18">
        <v>10857184640.817307</v>
      </c>
    </row>
    <row r="16" spans="1:9">
      <c r="B16" t="s">
        <v>115</v>
      </c>
      <c r="C16" s="3">
        <v>46228</v>
      </c>
      <c r="D16" s="13">
        <v>3783</v>
      </c>
      <c r="E16">
        <v>0</v>
      </c>
      <c r="F16" s="13">
        <v>4160</v>
      </c>
      <c r="G16" s="24">
        <v>0</v>
      </c>
      <c r="H16" s="12">
        <v>0</v>
      </c>
      <c r="I16" s="18">
        <v>121589085878</v>
      </c>
    </row>
    <row r="17" spans="1:9">
      <c r="B17" t="s">
        <v>110</v>
      </c>
      <c r="C17" s="3">
        <v>46184</v>
      </c>
      <c r="D17" s="13">
        <v>500</v>
      </c>
      <c r="E17">
        <v>0</v>
      </c>
      <c r="F17" s="13">
        <v>550.28462998102464</v>
      </c>
      <c r="G17" s="24">
        <v>0</v>
      </c>
      <c r="H17" s="12">
        <v>0</v>
      </c>
      <c r="I17" s="18">
        <v>16156623820.999367</v>
      </c>
    </row>
    <row r="18" spans="1:9">
      <c r="C18" s="3">
        <v>46228</v>
      </c>
      <c r="D18" s="13">
        <v>1081</v>
      </c>
      <c r="E18">
        <v>0</v>
      </c>
      <c r="F18" s="13">
        <v>1189.7153700189754</v>
      </c>
      <c r="G18" s="24">
        <v>0</v>
      </c>
      <c r="H18" s="12">
        <v>0</v>
      </c>
      <c r="I18" s="18">
        <v>34930620701.000633</v>
      </c>
    </row>
    <row r="19" spans="1:9">
      <c r="B19" t="s">
        <v>111</v>
      </c>
      <c r="C19" s="3">
        <v>46184</v>
      </c>
      <c r="D19" s="13">
        <v>700</v>
      </c>
      <c r="E19">
        <v>0</v>
      </c>
      <c r="F19" s="13">
        <v>767.70293609671853</v>
      </c>
      <c r="G19" s="24">
        <v>0</v>
      </c>
      <c r="H19" s="12">
        <v>0</v>
      </c>
      <c r="I19" s="18">
        <v>22713076563.816925</v>
      </c>
    </row>
    <row r="20" spans="1:9">
      <c r="C20" s="3">
        <v>46228</v>
      </c>
      <c r="D20" s="13">
        <v>458</v>
      </c>
      <c r="E20">
        <v>0</v>
      </c>
      <c r="F20" s="13">
        <v>502.29706390328153</v>
      </c>
      <c r="G20" s="24">
        <v>0</v>
      </c>
      <c r="H20" s="12">
        <v>0</v>
      </c>
      <c r="I20" s="18">
        <v>14860841523.183073</v>
      </c>
    </row>
    <row r="21" spans="1:9">
      <c r="B21" t="s">
        <v>112</v>
      </c>
      <c r="C21" s="3">
        <v>46184</v>
      </c>
      <c r="D21" s="13">
        <v>83</v>
      </c>
      <c r="E21">
        <v>0</v>
      </c>
      <c r="F21" s="13">
        <v>102.40259740259741</v>
      </c>
      <c r="G21" s="24">
        <v>0</v>
      </c>
      <c r="H21" s="12">
        <v>0</v>
      </c>
      <c r="I21" s="18">
        <v>2372783820.2207789</v>
      </c>
    </row>
    <row r="22" spans="1:9">
      <c r="C22" s="3">
        <v>46228</v>
      </c>
      <c r="D22" s="13">
        <v>71</v>
      </c>
      <c r="E22">
        <v>0</v>
      </c>
      <c r="F22" s="13">
        <v>87.597402597402606</v>
      </c>
      <c r="G22" s="24">
        <v>0</v>
      </c>
      <c r="H22" s="12">
        <v>0</v>
      </c>
      <c r="I22" s="18">
        <v>2029730737.7792206</v>
      </c>
    </row>
    <row r="23" spans="1:9">
      <c r="B23" t="s">
        <v>114</v>
      </c>
      <c r="C23" s="3">
        <v>46184</v>
      </c>
      <c r="D23" s="13">
        <v>10</v>
      </c>
      <c r="E23">
        <v>0</v>
      </c>
      <c r="F23" s="13">
        <v>11.020881670533642</v>
      </c>
      <c r="G23" s="24">
        <v>0</v>
      </c>
      <c r="H23" s="12">
        <v>0</v>
      </c>
      <c r="I23" s="18">
        <v>321833278.88631094</v>
      </c>
    </row>
    <row r="24" spans="1:9">
      <c r="C24" s="3">
        <v>46228</v>
      </c>
      <c r="D24" s="13">
        <v>852</v>
      </c>
      <c r="E24">
        <v>0</v>
      </c>
      <c r="F24" s="13">
        <v>938.97911832946636</v>
      </c>
      <c r="G24" s="24">
        <v>0</v>
      </c>
      <c r="H24" s="12">
        <v>0</v>
      </c>
      <c r="I24" s="18">
        <v>27420195361.113689</v>
      </c>
    </row>
    <row r="25" spans="1:9">
      <c r="A25" t="s">
        <v>170</v>
      </c>
      <c r="D25" s="13">
        <v>8785</v>
      </c>
      <c r="E25">
        <v>180</v>
      </c>
      <c r="F25" s="13">
        <v>9830</v>
      </c>
      <c r="G25" s="24">
        <v>219.58266452648476</v>
      </c>
      <c r="H25" s="12">
        <v>0.9</v>
      </c>
      <c r="I25" s="18">
        <v>278957261427</v>
      </c>
    </row>
    <row r="26" spans="1:9">
      <c r="A26" t="s">
        <v>69</v>
      </c>
      <c r="B26" t="s">
        <v>119</v>
      </c>
      <c r="C26" s="3">
        <v>46162</v>
      </c>
      <c r="D26" s="13">
        <v>200</v>
      </c>
      <c r="E26">
        <v>0</v>
      </c>
      <c r="F26" s="13">
        <v>402.64900662251659</v>
      </c>
      <c r="G26" s="24">
        <v>0</v>
      </c>
      <c r="H26" s="12">
        <v>0</v>
      </c>
      <c r="I26" s="18">
        <v>6473467399.4701986</v>
      </c>
    </row>
    <row r="27" spans="1:9">
      <c r="C27" s="3">
        <v>46193</v>
      </c>
      <c r="D27" s="13">
        <v>200</v>
      </c>
      <c r="E27">
        <v>0</v>
      </c>
      <c r="F27" s="13">
        <v>402.64900662251659</v>
      </c>
      <c r="G27" s="24">
        <v>0</v>
      </c>
      <c r="H27" s="12">
        <v>0</v>
      </c>
      <c r="I27" s="18">
        <v>6473467399.4701986</v>
      </c>
    </row>
    <row r="28" spans="1:9">
      <c r="C28" s="3">
        <v>46228</v>
      </c>
      <c r="D28" s="13">
        <v>355</v>
      </c>
      <c r="E28">
        <v>0</v>
      </c>
      <c r="F28" s="13">
        <v>714.70198675496692</v>
      </c>
      <c r="G28" s="24">
        <v>0</v>
      </c>
      <c r="H28" s="12">
        <v>0</v>
      </c>
      <c r="I28" s="18">
        <v>11490404634.059603</v>
      </c>
    </row>
    <row r="29" spans="1:9">
      <c r="B29" t="s">
        <v>121</v>
      </c>
      <c r="C29" s="3">
        <v>46172</v>
      </c>
      <c r="D29" s="13">
        <v>200</v>
      </c>
      <c r="E29">
        <v>0</v>
      </c>
      <c r="F29" s="13">
        <v>241.27617148554336</v>
      </c>
      <c r="G29" s="24">
        <v>0</v>
      </c>
      <c r="H29" s="12">
        <v>0</v>
      </c>
      <c r="I29" s="18">
        <v>6265257182.2532396</v>
      </c>
    </row>
    <row r="30" spans="1:9">
      <c r="C30" s="3">
        <v>46193</v>
      </c>
      <c r="D30" s="13">
        <v>300</v>
      </c>
      <c r="E30">
        <v>0</v>
      </c>
      <c r="F30" s="13">
        <v>361.91425722831502</v>
      </c>
      <c r="G30" s="24">
        <v>0</v>
      </c>
      <c r="H30" s="12">
        <v>0</v>
      </c>
      <c r="I30" s="18">
        <v>9397885773.3798599</v>
      </c>
    </row>
    <row r="31" spans="1:9">
      <c r="C31" s="3">
        <v>46228</v>
      </c>
      <c r="D31" s="13">
        <v>503</v>
      </c>
      <c r="E31">
        <v>0</v>
      </c>
      <c r="F31" s="13">
        <v>606.80957128614159</v>
      </c>
      <c r="G31" s="24">
        <v>0</v>
      </c>
      <c r="H31" s="12">
        <v>0</v>
      </c>
      <c r="I31" s="18">
        <v>15757121813.366899</v>
      </c>
    </row>
    <row r="32" spans="1:9" ht="42.75">
      <c r="B32" s="4" t="s">
        <v>124</v>
      </c>
      <c r="C32" s="3">
        <v>46167</v>
      </c>
      <c r="D32" s="13">
        <v>400</v>
      </c>
      <c r="E32">
        <v>0</v>
      </c>
      <c r="F32" s="13">
        <v>508.47457627118644</v>
      </c>
      <c r="G32" s="24">
        <v>0</v>
      </c>
      <c r="H32" s="12">
        <v>0</v>
      </c>
      <c r="I32" s="18">
        <v>12721335795.413759</v>
      </c>
    </row>
    <row r="33" spans="1:9">
      <c r="B33" s="4"/>
      <c r="C33" s="3">
        <v>46228</v>
      </c>
      <c r="D33" s="13">
        <v>1606</v>
      </c>
      <c r="E33">
        <v>0</v>
      </c>
      <c r="F33" s="13">
        <v>2041.5254237288134</v>
      </c>
      <c r="G33" s="24">
        <v>0</v>
      </c>
      <c r="H33" s="12">
        <v>0</v>
      </c>
      <c r="I33" s="18">
        <v>51076163218.586243</v>
      </c>
    </row>
    <row r="34" spans="1:9">
      <c r="B34" t="s">
        <v>122</v>
      </c>
      <c r="C34" s="3">
        <v>46172</v>
      </c>
      <c r="D34" s="13">
        <v>100</v>
      </c>
      <c r="E34">
        <v>0</v>
      </c>
      <c r="F34" s="13">
        <v>120</v>
      </c>
      <c r="G34" s="24">
        <v>0</v>
      </c>
      <c r="H34" s="12">
        <v>0</v>
      </c>
      <c r="I34" s="18">
        <v>3071326990.5</v>
      </c>
    </row>
    <row r="35" spans="1:9">
      <c r="C35" s="3">
        <v>46193</v>
      </c>
      <c r="D35" s="13">
        <v>150</v>
      </c>
      <c r="E35">
        <v>0</v>
      </c>
      <c r="F35" s="13">
        <v>180</v>
      </c>
      <c r="G35" s="24">
        <v>0</v>
      </c>
      <c r="H35" s="12">
        <v>0</v>
      </c>
      <c r="I35" s="18">
        <v>4606990485.75</v>
      </c>
    </row>
    <row r="36" spans="1:9">
      <c r="C36" s="3">
        <v>46228</v>
      </c>
      <c r="D36" s="13">
        <v>750</v>
      </c>
      <c r="E36">
        <v>0</v>
      </c>
      <c r="F36" s="13">
        <v>900</v>
      </c>
      <c r="G36" s="24">
        <v>0</v>
      </c>
      <c r="H36" s="12">
        <v>0</v>
      </c>
      <c r="I36" s="18">
        <v>23034952428.75</v>
      </c>
    </row>
    <row r="37" spans="1:9">
      <c r="A37" t="s">
        <v>171</v>
      </c>
      <c r="D37" s="13">
        <v>4764</v>
      </c>
      <c r="E37">
        <v>0</v>
      </c>
      <c r="F37" s="13">
        <v>6480</v>
      </c>
      <c r="G37" s="24">
        <v>0</v>
      </c>
      <c r="H37" s="12">
        <v>0</v>
      </c>
      <c r="I37" s="18">
        <v>150368373121</v>
      </c>
    </row>
    <row r="38" spans="1:9">
      <c r="A38" t="s">
        <v>125</v>
      </c>
      <c r="B38" t="s">
        <v>127</v>
      </c>
      <c r="C38" s="3">
        <v>46162</v>
      </c>
      <c r="D38" s="13">
        <v>500</v>
      </c>
      <c r="E38">
        <v>12</v>
      </c>
      <c r="F38" s="13">
        <v>750</v>
      </c>
      <c r="G38" s="24">
        <v>18</v>
      </c>
      <c r="H38" s="12">
        <v>2.4E-2</v>
      </c>
      <c r="I38" s="18">
        <v>8256253500</v>
      </c>
    </row>
    <row r="39" spans="1:9">
      <c r="C39" s="3">
        <v>46203</v>
      </c>
      <c r="D39" s="13">
        <v>683</v>
      </c>
      <c r="E39">
        <v>0</v>
      </c>
      <c r="F39" s="13">
        <v>1229.3999999999999</v>
      </c>
      <c r="G39" s="24">
        <v>0</v>
      </c>
      <c r="H39" s="12">
        <v>0</v>
      </c>
      <c r="I39" s="18">
        <v>11278042281</v>
      </c>
    </row>
    <row r="40" spans="1:9">
      <c r="C40" s="3">
        <v>46233</v>
      </c>
      <c r="D40" s="13">
        <v>1317</v>
      </c>
      <c r="E40">
        <v>0</v>
      </c>
      <c r="F40" s="13">
        <v>2370.6</v>
      </c>
      <c r="G40" s="24">
        <v>0</v>
      </c>
      <c r="H40" s="12">
        <v>0</v>
      </c>
      <c r="I40" s="18">
        <v>21746971719</v>
      </c>
    </row>
    <row r="41" spans="1:9">
      <c r="A41" t="s">
        <v>172</v>
      </c>
      <c r="D41" s="13">
        <v>2500</v>
      </c>
      <c r="E41">
        <v>12</v>
      </c>
      <c r="F41" s="13">
        <v>4350</v>
      </c>
      <c r="G41" s="24">
        <v>18</v>
      </c>
      <c r="H41" s="12">
        <v>2.4E-2</v>
      </c>
      <c r="I41" s="18">
        <v>41281267500</v>
      </c>
    </row>
    <row r="42" spans="1:9">
      <c r="A42" t="s">
        <v>129</v>
      </c>
      <c r="B42" t="s">
        <v>130</v>
      </c>
      <c r="C42" s="3">
        <v>46149</v>
      </c>
      <c r="D42" s="13">
        <v>1344</v>
      </c>
      <c r="E42">
        <v>0</v>
      </c>
      <c r="F42" s="13">
        <v>1842.5</v>
      </c>
      <c r="G42" s="24">
        <v>0</v>
      </c>
      <c r="H42" s="12">
        <v>0</v>
      </c>
      <c r="I42" s="18">
        <v>56292206192</v>
      </c>
    </row>
    <row r="43" spans="1:9">
      <c r="B43" t="s">
        <v>132</v>
      </c>
      <c r="C43" s="3">
        <v>46163</v>
      </c>
      <c r="D43" s="13">
        <v>376</v>
      </c>
      <c r="E43">
        <v>0</v>
      </c>
      <c r="F43" s="13">
        <v>503.84</v>
      </c>
      <c r="G43" s="24">
        <v>0</v>
      </c>
      <c r="H43" s="12">
        <v>0</v>
      </c>
      <c r="I43" s="18">
        <v>11930657218</v>
      </c>
    </row>
    <row r="44" spans="1:9">
      <c r="B44" t="s">
        <v>133</v>
      </c>
      <c r="C44" s="3">
        <v>46164</v>
      </c>
      <c r="D44" s="13">
        <v>80</v>
      </c>
      <c r="E44">
        <v>0</v>
      </c>
      <c r="F44" s="13">
        <v>58.08</v>
      </c>
      <c r="G44" s="24">
        <v>0</v>
      </c>
      <c r="H44" s="12">
        <v>0</v>
      </c>
      <c r="I44" s="18">
        <v>959419512</v>
      </c>
    </row>
    <row r="45" spans="1:9">
      <c r="B45" t="s">
        <v>134</v>
      </c>
      <c r="C45" s="3">
        <v>46169</v>
      </c>
      <c r="D45" s="13">
        <v>247</v>
      </c>
      <c r="E45">
        <v>0</v>
      </c>
      <c r="F45" s="13">
        <v>330.98</v>
      </c>
      <c r="G45" s="24">
        <v>0</v>
      </c>
      <c r="H45" s="12">
        <v>0</v>
      </c>
      <c r="I45" s="18">
        <v>7817475406</v>
      </c>
    </row>
    <row r="46" spans="1:9">
      <c r="B46" t="s">
        <v>135</v>
      </c>
      <c r="C46" s="3">
        <v>46149</v>
      </c>
      <c r="D46" s="13">
        <v>395</v>
      </c>
      <c r="E46">
        <v>0</v>
      </c>
      <c r="F46" s="13">
        <v>323.89999999999998</v>
      </c>
      <c r="G46" s="24">
        <v>0</v>
      </c>
      <c r="H46" s="12">
        <v>0</v>
      </c>
      <c r="I46" s="18">
        <v>10294382128</v>
      </c>
    </row>
    <row r="47" spans="1:9">
      <c r="B47" t="s">
        <v>137</v>
      </c>
      <c r="C47" s="3">
        <v>46190</v>
      </c>
      <c r="D47" s="13">
        <v>228</v>
      </c>
      <c r="E47">
        <v>0</v>
      </c>
      <c r="F47" s="13">
        <v>250.8</v>
      </c>
      <c r="G47" s="24">
        <v>0</v>
      </c>
      <c r="H47" s="12">
        <v>0</v>
      </c>
      <c r="I47" s="18">
        <v>7215361382</v>
      </c>
    </row>
    <row r="48" spans="1:9">
      <c r="A48" t="s">
        <v>173</v>
      </c>
      <c r="D48" s="13">
        <v>2670</v>
      </c>
      <c r="E48">
        <v>0</v>
      </c>
      <c r="F48" s="13">
        <v>3310.1000000000004</v>
      </c>
      <c r="G48" s="24">
        <v>0</v>
      </c>
      <c r="H48" s="12">
        <v>0</v>
      </c>
      <c r="I48" s="18">
        <v>94509501838</v>
      </c>
    </row>
    <row r="49" spans="1:9">
      <c r="A49" t="s">
        <v>138</v>
      </c>
      <c r="B49" t="s">
        <v>140</v>
      </c>
      <c r="C49" s="3">
        <v>46203</v>
      </c>
      <c r="D49" s="13">
        <v>500</v>
      </c>
      <c r="E49">
        <v>0</v>
      </c>
      <c r="F49" s="13">
        <v>1000</v>
      </c>
      <c r="G49" s="24">
        <v>0</v>
      </c>
      <c r="H49" s="12">
        <v>0</v>
      </c>
      <c r="I49" s="18">
        <v>7623200000</v>
      </c>
    </row>
    <row r="50" spans="1:9">
      <c r="B50" t="s">
        <v>144</v>
      </c>
      <c r="C50" s="3">
        <v>46203</v>
      </c>
      <c r="D50" s="13">
        <v>150</v>
      </c>
      <c r="E50">
        <v>0</v>
      </c>
      <c r="F50" s="13">
        <v>265</v>
      </c>
      <c r="G50" s="24">
        <v>0</v>
      </c>
      <c r="H50" s="12">
        <v>0</v>
      </c>
      <c r="I50" s="18">
        <v>1903500000</v>
      </c>
    </row>
    <row r="51" spans="1:9">
      <c r="B51" t="s">
        <v>145</v>
      </c>
      <c r="C51" s="3">
        <v>46172</v>
      </c>
      <c r="D51" s="13">
        <v>60</v>
      </c>
      <c r="E51">
        <v>0</v>
      </c>
      <c r="F51" s="13">
        <v>30</v>
      </c>
      <c r="G51" s="24">
        <v>0</v>
      </c>
      <c r="H51" s="12">
        <v>0</v>
      </c>
      <c r="I51" s="18">
        <v>283500000</v>
      </c>
    </row>
    <row r="52" spans="1:9">
      <c r="B52" t="s">
        <v>146</v>
      </c>
      <c r="C52" s="3">
        <v>46157</v>
      </c>
      <c r="D52" s="13">
        <v>500</v>
      </c>
      <c r="E52">
        <v>0</v>
      </c>
      <c r="F52" s="13">
        <v>2000</v>
      </c>
      <c r="G52" s="24">
        <v>0</v>
      </c>
      <c r="H52" s="12">
        <v>0</v>
      </c>
      <c r="I52" s="18">
        <v>8245082995.6800003</v>
      </c>
    </row>
    <row r="53" spans="1:9">
      <c r="B53" t="s">
        <v>147</v>
      </c>
      <c r="C53" s="3">
        <v>46203</v>
      </c>
      <c r="D53" s="13">
        <v>500</v>
      </c>
      <c r="E53">
        <v>0</v>
      </c>
      <c r="F53" s="13">
        <v>1000</v>
      </c>
      <c r="G53" s="24">
        <v>0</v>
      </c>
      <c r="H53" s="12">
        <v>0</v>
      </c>
      <c r="I53" s="18">
        <v>8245082995.6800003</v>
      </c>
    </row>
    <row r="54" spans="1:9">
      <c r="B54" t="s">
        <v>149</v>
      </c>
      <c r="C54" s="3">
        <v>46172</v>
      </c>
      <c r="D54" s="13">
        <v>500</v>
      </c>
      <c r="E54">
        <v>0</v>
      </c>
      <c r="F54" s="13">
        <v>2000</v>
      </c>
      <c r="G54" s="24">
        <v>0</v>
      </c>
      <c r="H54" s="12">
        <v>0</v>
      </c>
      <c r="I54" s="18">
        <v>6900000000</v>
      </c>
    </row>
    <row r="55" spans="1:9">
      <c r="B55" t="s">
        <v>150</v>
      </c>
      <c r="C55" s="3">
        <v>46249</v>
      </c>
      <c r="D55" s="13">
        <v>210</v>
      </c>
      <c r="E55">
        <v>0</v>
      </c>
      <c r="F55" s="13">
        <v>500</v>
      </c>
      <c r="G55" s="24">
        <v>0</v>
      </c>
      <c r="H55" s="12">
        <v>0</v>
      </c>
      <c r="I55" s="18">
        <v>6900000000</v>
      </c>
    </row>
    <row r="56" spans="1:9">
      <c r="B56" t="s">
        <v>153</v>
      </c>
      <c r="C56" s="3">
        <v>46203</v>
      </c>
      <c r="D56" s="13">
        <v>500</v>
      </c>
      <c r="E56">
        <v>0</v>
      </c>
      <c r="F56" s="13">
        <v>1000</v>
      </c>
      <c r="G56" s="24">
        <v>0</v>
      </c>
      <c r="H56" s="12">
        <v>0</v>
      </c>
      <c r="I56" s="18">
        <v>5830684998.54</v>
      </c>
    </row>
    <row r="57" spans="1:9">
      <c r="B57" t="s">
        <v>155</v>
      </c>
      <c r="C57" s="3">
        <v>46172</v>
      </c>
      <c r="D57" s="13">
        <v>500</v>
      </c>
      <c r="E57">
        <v>0</v>
      </c>
      <c r="F57" s="13">
        <v>1000</v>
      </c>
      <c r="G57" s="24">
        <v>0</v>
      </c>
      <c r="H57" s="12">
        <v>0</v>
      </c>
      <c r="I57" s="18">
        <v>6540000000</v>
      </c>
    </row>
    <row r="58" spans="1:9">
      <c r="B58" t="s">
        <v>156</v>
      </c>
      <c r="C58" s="3">
        <v>46203</v>
      </c>
      <c r="D58" s="13">
        <v>500</v>
      </c>
      <c r="E58">
        <v>0</v>
      </c>
      <c r="F58" s="13">
        <v>1000</v>
      </c>
      <c r="G58" s="24">
        <v>0</v>
      </c>
      <c r="H58" s="12">
        <v>0</v>
      </c>
      <c r="I58" s="18">
        <v>6540000000</v>
      </c>
    </row>
    <row r="59" spans="1:9">
      <c r="B59" t="s">
        <v>157</v>
      </c>
      <c r="C59" s="3">
        <v>46218</v>
      </c>
      <c r="D59" s="13">
        <v>500</v>
      </c>
      <c r="E59">
        <v>0</v>
      </c>
      <c r="F59" s="13">
        <v>1000</v>
      </c>
      <c r="G59" s="24">
        <v>0</v>
      </c>
      <c r="H59" s="12">
        <v>0</v>
      </c>
      <c r="I59" s="18">
        <v>6540000000</v>
      </c>
    </row>
    <row r="60" spans="1:9">
      <c r="B60" t="s">
        <v>159</v>
      </c>
      <c r="C60" s="3">
        <v>46203</v>
      </c>
      <c r="D60" s="13">
        <v>100</v>
      </c>
      <c r="E60">
        <v>0</v>
      </c>
      <c r="F60" s="13">
        <v>105</v>
      </c>
      <c r="G60" s="24">
        <v>0</v>
      </c>
      <c r="H60" s="12">
        <v>0</v>
      </c>
      <c r="I60" s="18">
        <v>684600000</v>
      </c>
    </row>
    <row r="61" spans="1:9">
      <c r="B61" t="s">
        <v>160</v>
      </c>
      <c r="C61" s="3">
        <v>46203</v>
      </c>
      <c r="D61" s="13">
        <v>210</v>
      </c>
      <c r="E61">
        <v>0</v>
      </c>
      <c r="F61" s="13">
        <v>240</v>
      </c>
      <c r="G61" s="24">
        <v>0</v>
      </c>
      <c r="H61" s="12">
        <v>0</v>
      </c>
      <c r="I61" s="18">
        <v>1128000000</v>
      </c>
    </row>
    <row r="62" spans="1:9">
      <c r="A62" t="s">
        <v>174</v>
      </c>
      <c r="D62" s="13">
        <v>4730</v>
      </c>
      <c r="E62">
        <v>0</v>
      </c>
      <c r="F62" s="13">
        <v>11140</v>
      </c>
      <c r="G62" s="24">
        <v>0</v>
      </c>
      <c r="H62" s="12">
        <v>0</v>
      </c>
      <c r="I62" s="18">
        <v>67363650989.900002</v>
      </c>
    </row>
    <row r="63" spans="1:9">
      <c r="A63" t="s">
        <v>175</v>
      </c>
      <c r="D63" s="13">
        <v>34113</v>
      </c>
      <c r="E63">
        <v>192</v>
      </c>
      <c r="F63" s="13">
        <v>46840.100000000006</v>
      </c>
      <c r="G63" s="24">
        <v>237.58266452648476</v>
      </c>
      <c r="H63" s="12">
        <v>0.92400000000000004</v>
      </c>
      <c r="I63" s="18">
        <v>955189801765.90039</v>
      </c>
    </row>
  </sheetData>
  <pageMargins left="0.70866141732283472" right="0.70866141732283472" top="0.74803149606299213" bottom="0.74803149606299213" header="0.31496062992125984" footer="0.31496062992125984"/>
  <pageSetup scale="62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31BA8-ED89-43B5-914C-8B3FFE3FB6D2}">
  <sheetPr>
    <tabColor theme="3" tint="0.499984740745262"/>
  </sheetPr>
  <dimension ref="A1:C22"/>
  <sheetViews>
    <sheetView workbookViewId="0">
      <selection activeCell="F15" sqref="F15"/>
    </sheetView>
  </sheetViews>
  <sheetFormatPr baseColWidth="10" defaultColWidth="11.3984375" defaultRowHeight="14.25"/>
  <cols>
    <col min="1" max="1" width="19" bestFit="1" customWidth="1"/>
    <col min="2" max="2" width="17.59765625" bestFit="1" customWidth="1"/>
    <col min="3" max="3" width="18" style="203" customWidth="1"/>
  </cols>
  <sheetData>
    <row r="1" spans="1:3">
      <c r="A1" s="6" t="s">
        <v>176</v>
      </c>
      <c r="B1" t="s">
        <v>177</v>
      </c>
    </row>
    <row r="3" spans="1:3">
      <c r="A3" s="204" t="s">
        <v>178</v>
      </c>
      <c r="B3" s="204"/>
      <c r="C3" s="206"/>
    </row>
    <row r="4" spans="1:3">
      <c r="A4" s="204" t="s">
        <v>74</v>
      </c>
      <c r="B4" s="204" t="s">
        <v>179</v>
      </c>
      <c r="C4" s="204" t="s">
        <v>180</v>
      </c>
    </row>
    <row r="5" spans="1:3">
      <c r="A5" t="s">
        <v>27</v>
      </c>
      <c r="B5" t="s">
        <v>116</v>
      </c>
      <c r="C5" s="205">
        <v>322709746890</v>
      </c>
    </row>
    <row r="6" spans="1:3">
      <c r="A6" t="s">
        <v>181</v>
      </c>
      <c r="C6" s="205">
        <v>322709746890</v>
      </c>
    </row>
    <row r="7" spans="1:3">
      <c r="A7" t="s">
        <v>22</v>
      </c>
      <c r="B7" t="s">
        <v>101</v>
      </c>
      <c r="C7" s="205">
        <v>36562469742</v>
      </c>
    </row>
    <row r="8" spans="1:3">
      <c r="B8" t="s">
        <v>109</v>
      </c>
      <c r="C8" s="205">
        <v>51087244522</v>
      </c>
    </row>
    <row r="9" spans="1:3">
      <c r="B9" t="s">
        <v>113</v>
      </c>
      <c r="C9" s="205">
        <v>27742028640</v>
      </c>
    </row>
    <row r="10" spans="1:3">
      <c r="B10" t="s">
        <v>115</v>
      </c>
      <c r="C10" s="205">
        <v>121589085878</v>
      </c>
    </row>
    <row r="11" spans="1:3">
      <c r="B11" t="s">
        <v>111</v>
      </c>
      <c r="C11" s="205">
        <v>41976432645</v>
      </c>
    </row>
    <row r="12" spans="1:3">
      <c r="A12" t="s">
        <v>182</v>
      </c>
      <c r="C12" s="205">
        <v>278957261427</v>
      </c>
    </row>
    <row r="13" spans="1:3">
      <c r="A13" t="s">
        <v>183</v>
      </c>
      <c r="B13" t="s">
        <v>126</v>
      </c>
      <c r="C13" s="205">
        <v>41281267500</v>
      </c>
    </row>
    <row r="14" spans="1:3">
      <c r="A14" t="s">
        <v>184</v>
      </c>
      <c r="C14" s="205">
        <v>41281267500</v>
      </c>
    </row>
    <row r="15" spans="1:3">
      <c r="A15" t="s">
        <v>18</v>
      </c>
      <c r="B15" t="s">
        <v>185</v>
      </c>
      <c r="C15" s="205">
        <v>24437339433</v>
      </c>
    </row>
    <row r="16" spans="1:3">
      <c r="B16" t="s">
        <v>116</v>
      </c>
      <c r="C16" s="205">
        <v>30713269905</v>
      </c>
    </row>
    <row r="17" spans="1:3">
      <c r="B17" t="s">
        <v>120</v>
      </c>
      <c r="C17" s="205">
        <v>31420264769</v>
      </c>
    </row>
    <row r="18" spans="1:3">
      <c r="B18" t="s">
        <v>123</v>
      </c>
      <c r="C18" s="205">
        <v>63797499014</v>
      </c>
    </row>
    <row r="19" spans="1:3">
      <c r="A19" t="s">
        <v>186</v>
      </c>
      <c r="C19" s="205">
        <v>150368373121</v>
      </c>
    </row>
    <row r="20" spans="1:3">
      <c r="A20" s="204" t="s">
        <v>175</v>
      </c>
      <c r="B20" s="204"/>
      <c r="C20" s="206">
        <v>793316648938</v>
      </c>
    </row>
    <row r="21" spans="1:3">
      <c r="C21"/>
    </row>
    <row r="22" spans="1:3">
      <c r="C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70B2D-340E-452E-9124-AF36A9EC4503}">
  <dimension ref="A1:Q21"/>
  <sheetViews>
    <sheetView zoomScale="109" workbookViewId="0">
      <selection activeCell="P33" sqref="P33"/>
    </sheetView>
  </sheetViews>
  <sheetFormatPr baseColWidth="10" defaultColWidth="11.3984375" defaultRowHeight="14.25"/>
  <cols>
    <col min="1" max="2" width="10.73046875" style="182"/>
    <col min="3" max="3" width="12.73046875" customWidth="1"/>
    <col min="4" max="4" width="16" customWidth="1"/>
    <col min="5" max="5" width="15.1328125" customWidth="1"/>
    <col min="6" max="6" width="18.3984375" customWidth="1"/>
    <col min="10" max="10" width="17.265625" hidden="1" customWidth="1"/>
    <col min="11" max="11" width="0" hidden="1" customWidth="1"/>
    <col min="12" max="13" width="10.73046875" style="182"/>
  </cols>
  <sheetData>
    <row r="1" spans="3:17" s="182" customFormat="1"/>
    <row r="2" spans="3:17" s="182" customFormat="1"/>
    <row r="3" spans="3:17" ht="26.65" thickBot="1">
      <c r="C3" s="202" t="s">
        <v>179</v>
      </c>
      <c r="D3" s="202" t="s">
        <v>187</v>
      </c>
      <c r="E3" s="202" t="s">
        <v>74</v>
      </c>
      <c r="F3" s="202" t="s">
        <v>188</v>
      </c>
      <c r="G3" s="202" t="s">
        <v>189</v>
      </c>
      <c r="H3" s="202" t="s">
        <v>52</v>
      </c>
      <c r="I3" s="202" t="s">
        <v>190</v>
      </c>
      <c r="J3" s="186" t="s">
        <v>191</v>
      </c>
      <c r="O3" s="1" t="s">
        <v>192</v>
      </c>
      <c r="P3" s="1" t="s">
        <v>193</v>
      </c>
      <c r="Q3" s="1" t="s">
        <v>194</v>
      </c>
    </row>
    <row r="4" spans="3:17" ht="14.65" thickTop="1">
      <c r="C4" s="190" t="s">
        <v>116</v>
      </c>
      <c r="D4" s="190" t="s">
        <v>195</v>
      </c>
      <c r="E4" s="190" t="s">
        <v>27</v>
      </c>
      <c r="F4" s="191">
        <v>322709746890</v>
      </c>
      <c r="G4" s="192">
        <v>11.73</v>
      </c>
      <c r="H4" s="193">
        <v>10664</v>
      </c>
      <c r="I4" s="194">
        <v>6.7516879219804954E-2</v>
      </c>
      <c r="J4" s="187"/>
      <c r="K4" s="181">
        <f>Tabla1[[#This Row],[14/06/2026]]/Tabla1[[#This Row],[Usuarios Totales]]</f>
        <v>6.7516879219804954E-2</v>
      </c>
      <c r="O4" s="177" t="s">
        <v>196</v>
      </c>
      <c r="P4" s="180">
        <v>0.1</v>
      </c>
    </row>
    <row r="5" spans="3:17" ht="39.4">
      <c r="C5" s="195" t="s">
        <v>115</v>
      </c>
      <c r="D5" s="195" t="s">
        <v>197</v>
      </c>
      <c r="E5" s="195" t="s">
        <v>22</v>
      </c>
      <c r="F5" s="196">
        <v>121589085878</v>
      </c>
      <c r="G5" s="197">
        <v>4.16</v>
      </c>
      <c r="H5" s="198">
        <v>3783</v>
      </c>
      <c r="I5" s="194">
        <v>4.2294475284166008E-2</v>
      </c>
      <c r="J5" s="188"/>
      <c r="K5" s="181">
        <f>Tabla1[[#This Row],[14/06/2026]]/Tabla1[[#This Row],[Usuarios Totales]]</f>
        <v>4.2294475284166008E-2</v>
      </c>
      <c r="O5" s="178" t="s">
        <v>198</v>
      </c>
      <c r="P5" s="180">
        <v>0.3</v>
      </c>
    </row>
    <row r="6" spans="3:17" ht="29.25" customHeight="1">
      <c r="C6" s="190" t="s">
        <v>113</v>
      </c>
      <c r="D6" s="190" t="s">
        <v>114</v>
      </c>
      <c r="E6" s="190" t="s">
        <v>22</v>
      </c>
      <c r="F6" s="191">
        <v>27742028640</v>
      </c>
      <c r="G6" s="192">
        <v>0.95</v>
      </c>
      <c r="H6" s="193">
        <v>862</v>
      </c>
      <c r="I6" s="199">
        <v>0</v>
      </c>
      <c r="J6" s="187"/>
      <c r="K6" s="181">
        <f>Tabla1[[#This Row],[14/06/2026]]/Tabla1[[#This Row],[Usuarios Totales]]</f>
        <v>0</v>
      </c>
      <c r="O6" s="179" t="s">
        <v>199</v>
      </c>
      <c r="P6" s="180">
        <v>0.5</v>
      </c>
    </row>
    <row r="7" spans="3:17" ht="25.5" customHeight="1">
      <c r="C7" s="195" t="s">
        <v>109</v>
      </c>
      <c r="D7" s="195" t="s">
        <v>200</v>
      </c>
      <c r="E7" s="195" t="s">
        <v>22</v>
      </c>
      <c r="F7" s="196">
        <v>51087244522</v>
      </c>
      <c r="G7" s="197">
        <v>1.74</v>
      </c>
      <c r="H7" s="198">
        <v>1581</v>
      </c>
      <c r="I7" s="194">
        <v>0.18722327640733713</v>
      </c>
      <c r="J7" s="188"/>
      <c r="K7" s="181">
        <f>Tabla1[[#This Row],[14/06/2026]]/Tabla1[[#This Row],[Usuarios Totales]]</f>
        <v>0.18722327640733713</v>
      </c>
    </row>
    <row r="8" spans="3:17" ht="78.75">
      <c r="C8" s="190" t="s">
        <v>111</v>
      </c>
      <c r="D8" s="190" t="s">
        <v>201</v>
      </c>
      <c r="E8" s="190" t="s">
        <v>22</v>
      </c>
      <c r="F8" s="191">
        <v>37573918087</v>
      </c>
      <c r="G8" s="192">
        <v>1.27</v>
      </c>
      <c r="H8" s="193">
        <v>1158</v>
      </c>
      <c r="I8" s="199">
        <v>0.10708117443868739</v>
      </c>
      <c r="J8" s="187"/>
      <c r="K8" s="181">
        <f>Tabla1[[#This Row],[14/06/2026]]/Tabla1[[#This Row],[Usuarios Totales]]</f>
        <v>0.10708117443868739</v>
      </c>
    </row>
    <row r="9" spans="3:17" ht="25.9" customHeight="1">
      <c r="C9" s="195" t="s">
        <v>111</v>
      </c>
      <c r="D9" s="195" t="s">
        <v>202</v>
      </c>
      <c r="E9" s="195" t="s">
        <v>22</v>
      </c>
      <c r="F9" s="196">
        <v>4402514558</v>
      </c>
      <c r="G9" s="197">
        <v>0.19</v>
      </c>
      <c r="H9" s="198">
        <v>154</v>
      </c>
      <c r="I9" s="194">
        <v>0.38961038961038963</v>
      </c>
      <c r="J9" s="188"/>
      <c r="K9" s="181">
        <f>Tabla1[[#This Row],[14/06/2026]]/Tabla1[[#This Row],[Usuarios Totales]]</f>
        <v>0.38961038961038963</v>
      </c>
    </row>
    <row r="10" spans="3:17" ht="23.65" customHeight="1">
      <c r="C10" s="190" t="s">
        <v>120</v>
      </c>
      <c r="D10" s="190" t="s">
        <v>203</v>
      </c>
      <c r="E10" s="190" t="s">
        <v>18</v>
      </c>
      <c r="F10" s="191">
        <v>31420264769</v>
      </c>
      <c r="G10" s="192">
        <v>1.21</v>
      </c>
      <c r="H10" s="193">
        <v>1003</v>
      </c>
      <c r="I10" s="199">
        <v>5.9820538384845461E-2</v>
      </c>
      <c r="J10" s="187"/>
      <c r="K10" s="181">
        <f>Tabla1[[#This Row],[14/06/2026]]/Tabla1[[#This Row],[Usuarios Totales]]</f>
        <v>5.9820538384845461E-2</v>
      </c>
    </row>
    <row r="11" spans="3:17" ht="18.399999999999999" customHeight="1">
      <c r="C11" s="195" t="s">
        <v>101</v>
      </c>
      <c r="D11" s="195" t="s">
        <v>204</v>
      </c>
      <c r="E11" s="195" t="s">
        <v>22</v>
      </c>
      <c r="F11" s="196">
        <v>18447808737</v>
      </c>
      <c r="G11" s="197">
        <v>0.76</v>
      </c>
      <c r="H11" s="198">
        <v>623</v>
      </c>
      <c r="I11" s="194">
        <v>0.6902086677367576</v>
      </c>
      <c r="J11" s="188"/>
      <c r="K11" s="181">
        <f>Tabla1[[#This Row],[14/06/2026]]/Tabla1[[#This Row],[Usuarios Totales]]</f>
        <v>0.6902086677367576</v>
      </c>
    </row>
    <row r="12" spans="3:17" ht="23.25" customHeight="1">
      <c r="C12" s="190" t="s">
        <v>101</v>
      </c>
      <c r="D12" s="190" t="s">
        <v>205</v>
      </c>
      <c r="E12" s="190" t="s">
        <v>22</v>
      </c>
      <c r="F12" s="191">
        <v>18114661005</v>
      </c>
      <c r="G12" s="192">
        <v>0.76</v>
      </c>
      <c r="H12" s="193">
        <v>624</v>
      </c>
      <c r="I12" s="199">
        <v>0.5</v>
      </c>
      <c r="J12" s="187"/>
      <c r="K12" s="181">
        <f>Tabla1[[#This Row],[14/06/2026]]/Tabla1[[#This Row],[Usuarios Totales]]</f>
        <v>0.43269230769230771</v>
      </c>
    </row>
    <row r="13" spans="3:17" ht="19.149999999999999" customHeight="1">
      <c r="C13" s="195" t="s">
        <v>116</v>
      </c>
      <c r="D13" s="195" t="s">
        <v>122</v>
      </c>
      <c r="E13" s="195" t="s">
        <v>18</v>
      </c>
      <c r="F13" s="196">
        <v>30713269905</v>
      </c>
      <c r="G13" s="197">
        <v>1.2</v>
      </c>
      <c r="H13" s="198">
        <v>1000</v>
      </c>
      <c r="I13" s="194">
        <v>0.06</v>
      </c>
      <c r="J13" s="188"/>
      <c r="K13" s="181">
        <f>Tabla1[[#This Row],[14/06/2026]]/Tabla1[[#This Row],[Usuarios Totales]]</f>
        <v>0.06</v>
      </c>
    </row>
    <row r="14" spans="3:17" ht="23.25" customHeight="1">
      <c r="C14" s="190" t="s">
        <v>123</v>
      </c>
      <c r="D14" s="190" t="s">
        <v>206</v>
      </c>
      <c r="E14" s="190" t="s">
        <v>18</v>
      </c>
      <c r="F14" s="191">
        <v>6880380834</v>
      </c>
      <c r="G14" s="192">
        <v>0.31</v>
      </c>
      <c r="H14" s="193">
        <v>217</v>
      </c>
      <c r="I14" s="199">
        <v>9.2165898617511524E-2</v>
      </c>
      <c r="J14" s="187"/>
      <c r="K14" s="181">
        <f>Tabla1[[#This Row],[14/06/2026]]/Tabla1[[#This Row],[Usuarios Totales]]</f>
        <v>9.2165898617511524E-2</v>
      </c>
    </row>
    <row r="15" spans="3:17" ht="27.4" customHeight="1">
      <c r="C15" s="195" t="s">
        <v>123</v>
      </c>
      <c r="D15" s="195" t="s">
        <v>207</v>
      </c>
      <c r="E15" s="195" t="s">
        <v>18</v>
      </c>
      <c r="F15" s="196">
        <v>22802905997</v>
      </c>
      <c r="G15" s="197">
        <v>0.72</v>
      </c>
      <c r="H15" s="198">
        <v>719</v>
      </c>
      <c r="I15" s="194">
        <v>1.3908205841446454E-2</v>
      </c>
      <c r="J15" s="188"/>
      <c r="K15" s="181">
        <f>Tabla1[[#This Row],[14/06/2026]]/Tabla1[[#This Row],[Usuarios Totales]]</f>
        <v>1.3908205841446454E-2</v>
      </c>
    </row>
    <row r="16" spans="3:17" ht="26.65" customHeight="1">
      <c r="C16" s="190" t="s">
        <v>123</v>
      </c>
      <c r="D16" s="190" t="s">
        <v>208</v>
      </c>
      <c r="E16" s="190" t="s">
        <v>18</v>
      </c>
      <c r="F16" s="191">
        <v>9349545113</v>
      </c>
      <c r="G16" s="192">
        <v>0.42</v>
      </c>
      <c r="H16" s="193">
        <v>293</v>
      </c>
      <c r="I16" s="199">
        <v>3.4129692832764506E-2</v>
      </c>
      <c r="J16" s="187"/>
      <c r="K16" s="181">
        <f>Tabla1[[#This Row],[14/06/2026]]/Tabla1[[#This Row],[Usuarios Totales]]</f>
        <v>3.4129692832764506E-2</v>
      </c>
    </row>
    <row r="17" spans="3:11" ht="24" customHeight="1">
      <c r="C17" s="195" t="s">
        <v>123</v>
      </c>
      <c r="D17" s="195" t="s">
        <v>209</v>
      </c>
      <c r="E17" s="195" t="s">
        <v>18</v>
      </c>
      <c r="F17" s="196">
        <v>24764667070</v>
      </c>
      <c r="G17" s="197">
        <v>1.1000000000000001</v>
      </c>
      <c r="H17" s="198">
        <v>777</v>
      </c>
      <c r="I17" s="194">
        <v>7.7220077220077218E-2</v>
      </c>
      <c r="J17" s="188"/>
      <c r="K17" s="181">
        <f>Tabla1[[#This Row],[14/06/2026]]/Tabla1[[#This Row],[Usuarios Totales]]</f>
        <v>7.7220077220077218E-2</v>
      </c>
    </row>
    <row r="18" spans="3:11" ht="25.9" customHeight="1">
      <c r="C18" s="190" t="s">
        <v>185</v>
      </c>
      <c r="D18" s="190" t="s">
        <v>210</v>
      </c>
      <c r="E18" s="190" t="s">
        <v>18</v>
      </c>
      <c r="F18" s="191">
        <v>24437339433</v>
      </c>
      <c r="G18" s="192">
        <v>1.52</v>
      </c>
      <c r="H18" s="193">
        <v>755</v>
      </c>
      <c r="I18" s="199">
        <v>4.6357615894039736E-2</v>
      </c>
      <c r="J18" s="189"/>
      <c r="K18" s="181">
        <f>Tabla1[[#This Row],[14/06/2026]]/Tabla1[[#This Row],[Usuarios Totales]]</f>
        <v>4.6357615894039736E-2</v>
      </c>
    </row>
    <row r="19" spans="3:11" ht="21.4" customHeight="1">
      <c r="C19" s="198" t="s">
        <v>126</v>
      </c>
      <c r="D19" s="198" t="s">
        <v>126</v>
      </c>
      <c r="E19" s="198" t="s">
        <v>183</v>
      </c>
      <c r="F19" s="198">
        <v>41281267500</v>
      </c>
      <c r="G19" s="200">
        <v>4.3499999999999996</v>
      </c>
      <c r="H19" s="198">
        <v>2500</v>
      </c>
      <c r="I19" s="194">
        <v>0.27679999999999999</v>
      </c>
      <c r="J19" s="188"/>
      <c r="K19" s="181">
        <f>Tabla1[[#This Row],[14/06/2026]]/Tabla1[[#This Row],[Usuarios Totales]]</f>
        <v>0.27679999999999999</v>
      </c>
    </row>
    <row r="20" spans="3:11" ht="14.65" thickBot="1">
      <c r="C20" s="215" t="s">
        <v>211</v>
      </c>
      <c r="D20" s="215"/>
      <c r="E20" s="215"/>
      <c r="F20" s="183">
        <f>SUM(F4:F19)</f>
        <v>793316648938</v>
      </c>
      <c r="G20" s="184">
        <f>SUM(G4:G19)</f>
        <v>32.39</v>
      </c>
      <c r="H20" s="185">
        <f>SUM(H4:H19)</f>
        <v>26713</v>
      </c>
      <c r="I20" s="201"/>
    </row>
    <row r="21" spans="3:11" ht="14.65" thickTop="1"/>
  </sheetData>
  <mergeCells count="1">
    <mergeCell ref="C20:E20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F53D-3348-47AC-AAC4-F453242F913E}">
  <sheetPr>
    <tabColor theme="3" tint="0.499984740745262"/>
  </sheetPr>
  <dimension ref="A1:AX288"/>
  <sheetViews>
    <sheetView tabSelected="1" topLeftCell="I1" zoomScale="70" zoomScaleNormal="70" workbookViewId="0">
      <selection activeCell="A19" sqref="A19"/>
    </sheetView>
  </sheetViews>
  <sheetFormatPr baseColWidth="10" defaultColWidth="9.265625" defaultRowHeight="14.25"/>
  <cols>
    <col min="1" max="1" width="13.1328125" style="79" customWidth="1"/>
    <col min="2" max="2" width="18" style="79" customWidth="1"/>
    <col min="3" max="3" width="18.59765625" style="79" customWidth="1"/>
    <col min="4" max="4" width="16.3984375" style="79" customWidth="1"/>
    <col min="5" max="5" width="15.86328125" style="85" bestFit="1" customWidth="1"/>
    <col min="6" max="6" width="22.1328125" style="86" customWidth="1"/>
    <col min="7" max="7" width="15.86328125" style="86" customWidth="1"/>
    <col min="8" max="10" width="12.3984375" style="79" customWidth="1"/>
    <col min="11" max="11" width="12.3984375" style="87" customWidth="1"/>
    <col min="12" max="16" width="12.3984375" style="79" customWidth="1"/>
    <col min="17" max="17" width="13.265625" style="87" customWidth="1"/>
    <col min="18" max="24" width="12.3984375" style="79" customWidth="1"/>
    <col min="25" max="25" width="12.3984375" style="87" customWidth="1"/>
    <col min="26" max="50" width="9.265625" style="135"/>
    <col min="51" max="16384" width="9.265625" style="79"/>
  </cols>
  <sheetData>
    <row r="1" spans="1:50" s="73" customFormat="1" ht="36.6" customHeight="1">
      <c r="A1" s="70" t="s">
        <v>176</v>
      </c>
      <c r="B1" s="71" t="s">
        <v>179</v>
      </c>
      <c r="C1" s="71" t="s">
        <v>187</v>
      </c>
      <c r="D1" s="71" t="s">
        <v>74</v>
      </c>
      <c r="E1" s="71" t="s">
        <v>188</v>
      </c>
      <c r="F1" s="71" t="s">
        <v>189</v>
      </c>
      <c r="G1" s="71" t="s">
        <v>52</v>
      </c>
      <c r="H1" s="72" t="s">
        <v>212</v>
      </c>
      <c r="I1" s="72" t="s">
        <v>213</v>
      </c>
      <c r="J1" s="72" t="s">
        <v>214</v>
      </c>
      <c r="K1" s="72" t="s">
        <v>215</v>
      </c>
      <c r="L1" s="72" t="s">
        <v>216</v>
      </c>
      <c r="M1" s="72" t="s">
        <v>217</v>
      </c>
      <c r="N1" s="72" t="s">
        <v>218</v>
      </c>
      <c r="O1" s="72" t="s">
        <v>219</v>
      </c>
      <c r="P1" s="72" t="s">
        <v>220</v>
      </c>
      <c r="Q1" s="72" t="s">
        <v>221</v>
      </c>
      <c r="R1" s="72" t="s">
        <v>222</v>
      </c>
      <c r="S1" s="72" t="s">
        <v>223</v>
      </c>
      <c r="T1" s="72" t="s">
        <v>224</v>
      </c>
      <c r="U1" s="72" t="s">
        <v>225</v>
      </c>
      <c r="V1" s="72" t="s">
        <v>226</v>
      </c>
      <c r="W1" s="72" t="s">
        <v>227</v>
      </c>
      <c r="X1" s="72" t="s">
        <v>228</v>
      </c>
      <c r="Y1" s="140" t="s">
        <v>229</v>
      </c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</row>
    <row r="2" spans="1:50">
      <c r="A2" s="93" t="s">
        <v>230</v>
      </c>
      <c r="B2" s="94" t="s">
        <v>231</v>
      </c>
      <c r="C2" s="94" t="s">
        <v>230</v>
      </c>
      <c r="D2" s="94" t="s">
        <v>27</v>
      </c>
      <c r="E2" s="94">
        <v>79316865070</v>
      </c>
      <c r="F2" s="116">
        <v>4</v>
      </c>
      <c r="G2" s="94">
        <v>2036</v>
      </c>
      <c r="H2" s="94">
        <v>50</v>
      </c>
      <c r="I2" s="94">
        <v>100</v>
      </c>
      <c r="J2" s="94">
        <v>150</v>
      </c>
      <c r="K2" s="94">
        <v>200</v>
      </c>
      <c r="L2" s="94">
        <v>270</v>
      </c>
      <c r="M2" s="94">
        <v>320</v>
      </c>
      <c r="N2" s="94">
        <v>350</v>
      </c>
      <c r="O2" s="94">
        <v>370</v>
      </c>
      <c r="P2" s="94">
        <v>380</v>
      </c>
      <c r="Q2" s="94">
        <v>400</v>
      </c>
      <c r="R2" s="94">
        <v>900</v>
      </c>
      <c r="S2" s="94">
        <v>1100</v>
      </c>
      <c r="T2" s="94">
        <v>1450</v>
      </c>
      <c r="U2" s="94">
        <v>1650</v>
      </c>
      <c r="V2" s="94">
        <v>1700</v>
      </c>
      <c r="W2" s="94">
        <v>1800</v>
      </c>
      <c r="X2" s="94">
        <v>1900</v>
      </c>
      <c r="Y2" s="127">
        <v>2036</v>
      </c>
    </row>
    <row r="3" spans="1:50">
      <c r="A3" s="93" t="s">
        <v>232</v>
      </c>
      <c r="B3" s="94" t="s">
        <v>231</v>
      </c>
      <c r="C3" s="94" t="s">
        <v>232</v>
      </c>
      <c r="D3" s="94" t="s">
        <v>18</v>
      </c>
      <c r="E3" s="94">
        <v>83008042889</v>
      </c>
      <c r="F3" s="116">
        <v>3</v>
      </c>
      <c r="G3" s="94">
        <v>2295</v>
      </c>
      <c r="H3" s="94">
        <v>20</v>
      </c>
      <c r="I3" s="94">
        <f>+H3+25</f>
        <v>45</v>
      </c>
      <c r="J3" s="94">
        <f>+I3+70</f>
        <v>115</v>
      </c>
      <c r="K3" s="94">
        <v>200</v>
      </c>
      <c r="L3" s="94">
        <v>230</v>
      </c>
      <c r="M3" s="94">
        <f>+L3+10</f>
        <v>240</v>
      </c>
      <c r="N3" s="94">
        <f>+M3+50</f>
        <v>290</v>
      </c>
      <c r="O3" s="94">
        <f>+N3+60</f>
        <v>350</v>
      </c>
      <c r="P3" s="94">
        <f>+O3+20</f>
        <v>370</v>
      </c>
      <c r="Q3" s="94">
        <v>400</v>
      </c>
      <c r="R3" s="94">
        <v>425</v>
      </c>
      <c r="S3" s="94">
        <f>+R3+100</f>
        <v>525</v>
      </c>
      <c r="T3" s="94">
        <f>+S3+250</f>
        <v>775</v>
      </c>
      <c r="U3" s="94">
        <f>+T3+250</f>
        <v>1025</v>
      </c>
      <c r="V3" s="94">
        <f>+U3+250</f>
        <v>1275</v>
      </c>
      <c r="W3" s="94">
        <f>+V3+600</f>
        <v>1875</v>
      </c>
      <c r="X3" s="94">
        <f>+W3+100</f>
        <v>1975</v>
      </c>
      <c r="Y3" s="127">
        <v>2295</v>
      </c>
    </row>
    <row r="4" spans="1:50">
      <c r="A4" s="93" t="s">
        <v>233</v>
      </c>
      <c r="B4" s="94" t="s">
        <v>116</v>
      </c>
      <c r="C4" s="94" t="s">
        <v>195</v>
      </c>
      <c r="D4" s="94" t="s">
        <v>27</v>
      </c>
      <c r="E4" s="94">
        <v>322709746890</v>
      </c>
      <c r="F4" s="116">
        <v>11.73</v>
      </c>
      <c r="G4" s="94">
        <v>10664</v>
      </c>
      <c r="H4" s="94">
        <v>0</v>
      </c>
      <c r="I4" s="94">
        <v>0</v>
      </c>
      <c r="J4" s="94">
        <v>80</v>
      </c>
      <c r="K4" s="94">
        <v>240</v>
      </c>
      <c r="L4" s="94">
        <v>400</v>
      </c>
      <c r="M4" s="94">
        <v>480</v>
      </c>
      <c r="N4" s="94">
        <v>560</v>
      </c>
      <c r="O4" s="94">
        <v>640</v>
      </c>
      <c r="P4" s="94">
        <v>720</v>
      </c>
      <c r="Q4" s="94">
        <v>800</v>
      </c>
      <c r="R4" s="94">
        <v>1050</v>
      </c>
      <c r="S4" s="94">
        <v>1550</v>
      </c>
      <c r="T4" s="94">
        <v>2350</v>
      </c>
      <c r="U4" s="94">
        <v>3350</v>
      </c>
      <c r="V4" s="94">
        <v>4600</v>
      </c>
      <c r="W4" s="94">
        <v>6100</v>
      </c>
      <c r="X4" s="94">
        <v>8100</v>
      </c>
      <c r="Y4" s="127">
        <v>10664</v>
      </c>
    </row>
    <row r="5" spans="1:50" ht="39.4">
      <c r="A5" s="93" t="s">
        <v>234</v>
      </c>
      <c r="B5" s="94" t="s">
        <v>115</v>
      </c>
      <c r="C5" s="94" t="s">
        <v>197</v>
      </c>
      <c r="D5" s="94" t="s">
        <v>22</v>
      </c>
      <c r="E5" s="94">
        <v>121589085878</v>
      </c>
      <c r="F5" s="116">
        <v>4.16</v>
      </c>
      <c r="G5" s="94">
        <v>3783</v>
      </c>
      <c r="H5" s="94">
        <v>0</v>
      </c>
      <c r="I5" s="94">
        <v>0</v>
      </c>
      <c r="J5" s="94">
        <v>0</v>
      </c>
      <c r="K5" s="94">
        <v>0</v>
      </c>
      <c r="L5" s="94">
        <v>0</v>
      </c>
      <c r="M5" s="94">
        <v>0</v>
      </c>
      <c r="N5" s="94">
        <v>0</v>
      </c>
      <c r="O5" s="94">
        <v>150</v>
      </c>
      <c r="P5" s="94">
        <v>160</v>
      </c>
      <c r="Q5" s="94">
        <v>160</v>
      </c>
      <c r="R5" s="94">
        <v>160</v>
      </c>
      <c r="S5" s="94">
        <v>160</v>
      </c>
      <c r="T5" s="94">
        <v>410</v>
      </c>
      <c r="U5" s="94">
        <v>660</v>
      </c>
      <c r="V5" s="94">
        <v>910</v>
      </c>
      <c r="W5" s="94">
        <v>1510</v>
      </c>
      <c r="X5" s="94">
        <v>1610</v>
      </c>
      <c r="Y5" s="127">
        <v>3783</v>
      </c>
    </row>
    <row r="6" spans="1:50">
      <c r="A6" s="93" t="s">
        <v>114</v>
      </c>
      <c r="B6" s="94" t="s">
        <v>113</v>
      </c>
      <c r="C6" s="94" t="s">
        <v>114</v>
      </c>
      <c r="D6" s="94" t="s">
        <v>22</v>
      </c>
      <c r="E6" s="94">
        <v>27742028640</v>
      </c>
      <c r="F6" s="116">
        <v>0.95</v>
      </c>
      <c r="G6" s="94">
        <v>862</v>
      </c>
      <c r="H6" s="94">
        <v>70</v>
      </c>
      <c r="I6" s="94">
        <v>95</v>
      </c>
      <c r="J6" s="94">
        <v>165</v>
      </c>
      <c r="K6" s="94">
        <v>200</v>
      </c>
      <c r="L6" s="94">
        <v>250</v>
      </c>
      <c r="M6" s="94">
        <v>260</v>
      </c>
      <c r="N6" s="94">
        <v>310</v>
      </c>
      <c r="O6" s="94">
        <v>370</v>
      </c>
      <c r="P6" s="94">
        <v>390</v>
      </c>
      <c r="Q6" s="94">
        <v>400</v>
      </c>
      <c r="R6" s="94">
        <v>420</v>
      </c>
      <c r="S6" s="94">
        <v>470</v>
      </c>
      <c r="T6" s="94">
        <v>570</v>
      </c>
      <c r="U6" s="94">
        <v>595</v>
      </c>
      <c r="V6" s="94">
        <v>625</v>
      </c>
      <c r="W6" s="94">
        <v>650</v>
      </c>
      <c r="X6" s="94">
        <v>750</v>
      </c>
      <c r="Y6" s="127">
        <v>862</v>
      </c>
    </row>
    <row r="7" spans="1:50">
      <c r="A7" s="93" t="s">
        <v>110</v>
      </c>
      <c r="B7" s="94" t="s">
        <v>109</v>
      </c>
      <c r="C7" s="94" t="s">
        <v>200</v>
      </c>
      <c r="D7" s="94" t="s">
        <v>22</v>
      </c>
      <c r="E7" s="94">
        <v>51087244522</v>
      </c>
      <c r="F7" s="116">
        <v>1.74</v>
      </c>
      <c r="G7" s="94">
        <v>1581</v>
      </c>
      <c r="H7" s="94">
        <v>100</v>
      </c>
      <c r="I7" s="94">
        <v>125</v>
      </c>
      <c r="J7" s="94">
        <v>185</v>
      </c>
      <c r="K7" s="94">
        <v>200</v>
      </c>
      <c r="L7" s="94">
        <v>220</v>
      </c>
      <c r="M7" s="94">
        <v>230</v>
      </c>
      <c r="N7" s="94">
        <v>280</v>
      </c>
      <c r="O7" s="94">
        <v>340</v>
      </c>
      <c r="P7" s="94">
        <v>360</v>
      </c>
      <c r="Q7" s="94">
        <v>400</v>
      </c>
      <c r="R7" s="94">
        <v>450</v>
      </c>
      <c r="S7" s="94">
        <v>550</v>
      </c>
      <c r="T7" s="94">
        <v>650</v>
      </c>
      <c r="U7" s="94">
        <v>700</v>
      </c>
      <c r="V7" s="94">
        <v>800</v>
      </c>
      <c r="W7" s="94">
        <v>1000</v>
      </c>
      <c r="X7" s="94">
        <v>1100</v>
      </c>
      <c r="Y7" s="127">
        <v>1581</v>
      </c>
    </row>
    <row r="8" spans="1:50" ht="65.650000000000006">
      <c r="A8" s="93" t="s">
        <v>235</v>
      </c>
      <c r="B8" s="94" t="s">
        <v>111</v>
      </c>
      <c r="C8" s="94" t="s">
        <v>201</v>
      </c>
      <c r="D8" s="94" t="s">
        <v>22</v>
      </c>
      <c r="E8" s="94">
        <v>37573918087</v>
      </c>
      <c r="F8" s="116">
        <v>1.27</v>
      </c>
      <c r="G8" s="94">
        <v>1158</v>
      </c>
      <c r="H8" s="94">
        <v>20</v>
      </c>
      <c r="I8" s="94">
        <v>45</v>
      </c>
      <c r="J8" s="94">
        <v>115</v>
      </c>
      <c r="K8" s="94">
        <v>200</v>
      </c>
      <c r="L8" s="94">
        <v>210</v>
      </c>
      <c r="M8" s="94">
        <v>220</v>
      </c>
      <c r="N8" s="94">
        <v>270</v>
      </c>
      <c r="O8" s="94">
        <v>330</v>
      </c>
      <c r="P8" s="94">
        <v>350</v>
      </c>
      <c r="Q8" s="94">
        <v>400</v>
      </c>
      <c r="R8" s="94">
        <v>500</v>
      </c>
      <c r="S8" s="94">
        <v>550</v>
      </c>
      <c r="T8" s="94">
        <v>750</v>
      </c>
      <c r="U8" s="94">
        <v>900</v>
      </c>
      <c r="V8" s="94">
        <v>960</v>
      </c>
      <c r="W8" s="94">
        <v>980</v>
      </c>
      <c r="X8" s="94">
        <v>1080</v>
      </c>
      <c r="Y8" s="127">
        <v>1158</v>
      </c>
    </row>
    <row r="9" spans="1:50" ht="26.25">
      <c r="A9" s="93" t="s">
        <v>236</v>
      </c>
      <c r="B9" s="94" t="s">
        <v>111</v>
      </c>
      <c r="C9" s="94" t="s">
        <v>202</v>
      </c>
      <c r="D9" s="94" t="s">
        <v>22</v>
      </c>
      <c r="E9" s="94">
        <v>4402514558</v>
      </c>
      <c r="F9" s="116">
        <v>0.19</v>
      </c>
      <c r="G9" s="94">
        <v>154</v>
      </c>
      <c r="H9" s="94">
        <v>0</v>
      </c>
      <c r="I9" s="94">
        <v>0</v>
      </c>
      <c r="J9" s="94">
        <v>0</v>
      </c>
      <c r="K9" s="94">
        <v>0</v>
      </c>
      <c r="L9" s="94">
        <v>0</v>
      </c>
      <c r="M9" s="94">
        <v>0</v>
      </c>
      <c r="N9" s="94">
        <v>50</v>
      </c>
      <c r="O9" s="94">
        <v>83</v>
      </c>
      <c r="P9" s="94">
        <v>47</v>
      </c>
      <c r="Q9" s="94">
        <v>50</v>
      </c>
      <c r="R9" s="94">
        <v>60</v>
      </c>
      <c r="S9" s="94">
        <v>65</v>
      </c>
      <c r="T9" s="94">
        <v>70</v>
      </c>
      <c r="U9" s="94">
        <v>80</v>
      </c>
      <c r="V9" s="94">
        <v>85</v>
      </c>
      <c r="W9" s="94">
        <v>90</v>
      </c>
      <c r="X9" s="94">
        <v>95</v>
      </c>
      <c r="Y9" s="127">
        <v>154</v>
      </c>
    </row>
    <row r="10" spans="1:50">
      <c r="A10" s="93" t="s">
        <v>203</v>
      </c>
      <c r="B10" s="94" t="s">
        <v>120</v>
      </c>
      <c r="C10" s="94" t="s">
        <v>203</v>
      </c>
      <c r="D10" s="94" t="s">
        <v>18</v>
      </c>
      <c r="E10" s="94">
        <v>31420264769</v>
      </c>
      <c r="F10" s="116">
        <v>1.21</v>
      </c>
      <c r="G10" s="94">
        <v>1003</v>
      </c>
      <c r="H10" s="94">
        <v>60</v>
      </c>
      <c r="I10" s="94">
        <f t="shared" ref="I10:I18" si="0">+H10+25</f>
        <v>85</v>
      </c>
      <c r="J10" s="94">
        <f t="shared" ref="J10:J18" si="1">+I10+70</f>
        <v>155</v>
      </c>
      <c r="K10" s="94">
        <v>200</v>
      </c>
      <c r="L10" s="94">
        <v>225</v>
      </c>
      <c r="M10" s="94">
        <f t="shared" ref="M10:M18" si="2">+L10+10</f>
        <v>235</v>
      </c>
      <c r="N10" s="94">
        <f t="shared" ref="N10:N18" si="3">+M10+50</f>
        <v>285</v>
      </c>
      <c r="O10" s="94">
        <f t="shared" ref="O10:O18" si="4">+N10+60</f>
        <v>345</v>
      </c>
      <c r="P10" s="94">
        <f t="shared" ref="P10:P18" si="5">+O10+20</f>
        <v>365</v>
      </c>
      <c r="Q10" s="94">
        <v>400</v>
      </c>
      <c r="R10" s="94">
        <v>450</v>
      </c>
      <c r="S10" s="94">
        <f t="shared" ref="S10:S18" si="6">+R10+10</f>
        <v>460</v>
      </c>
      <c r="T10" s="94">
        <f>+S10+20</f>
        <v>480</v>
      </c>
      <c r="U10" s="94">
        <f>+T10+100</f>
        <v>580</v>
      </c>
      <c r="V10" s="94">
        <f>+U10+200</f>
        <v>780</v>
      </c>
      <c r="W10" s="94">
        <f>+V10+10</f>
        <v>790</v>
      </c>
      <c r="X10" s="94">
        <f>+W10+20</f>
        <v>810</v>
      </c>
      <c r="Y10" s="127">
        <v>1003</v>
      </c>
    </row>
    <row r="11" spans="1:50">
      <c r="A11" s="93" t="s">
        <v>102</v>
      </c>
      <c r="B11" s="94" t="s">
        <v>101</v>
      </c>
      <c r="C11" s="94" t="s">
        <v>204</v>
      </c>
      <c r="D11" s="94" t="s">
        <v>22</v>
      </c>
      <c r="E11" s="94">
        <v>18447808737</v>
      </c>
      <c r="F11" s="116">
        <v>0.76</v>
      </c>
      <c r="G11" s="94">
        <v>623</v>
      </c>
      <c r="H11" s="94">
        <v>60</v>
      </c>
      <c r="I11" s="94">
        <v>120</v>
      </c>
      <c r="J11" s="94">
        <v>180</v>
      </c>
      <c r="K11" s="94">
        <v>200</v>
      </c>
      <c r="L11" s="94">
        <v>250</v>
      </c>
      <c r="M11" s="94">
        <v>300</v>
      </c>
      <c r="N11" s="94">
        <v>350</v>
      </c>
      <c r="O11" s="94">
        <v>400</v>
      </c>
      <c r="P11" s="94">
        <v>430</v>
      </c>
      <c r="Q11" s="94">
        <v>460</v>
      </c>
      <c r="R11" s="94">
        <v>500</v>
      </c>
      <c r="S11" s="94">
        <v>530</v>
      </c>
      <c r="T11" s="94">
        <v>560</v>
      </c>
      <c r="U11" s="94">
        <v>580</v>
      </c>
      <c r="V11" s="94">
        <v>600</v>
      </c>
      <c r="W11" s="94">
        <v>610</v>
      </c>
      <c r="X11" s="94">
        <v>623</v>
      </c>
      <c r="Y11" s="127">
        <v>623</v>
      </c>
    </row>
    <row r="12" spans="1:50">
      <c r="A12" s="93" t="s">
        <v>205</v>
      </c>
      <c r="B12" s="94" t="s">
        <v>101</v>
      </c>
      <c r="C12" s="94" t="s">
        <v>205</v>
      </c>
      <c r="D12" s="94" t="s">
        <v>22</v>
      </c>
      <c r="E12" s="94">
        <v>18114661005</v>
      </c>
      <c r="F12" s="116">
        <v>0.76</v>
      </c>
      <c r="G12" s="94">
        <v>624</v>
      </c>
      <c r="H12" s="94">
        <v>0</v>
      </c>
      <c r="I12" s="94">
        <v>0</v>
      </c>
      <c r="J12" s="94">
        <v>0</v>
      </c>
      <c r="K12" s="94">
        <v>100</v>
      </c>
      <c r="L12" s="94">
        <v>120</v>
      </c>
      <c r="M12" s="94">
        <v>150</v>
      </c>
      <c r="N12" s="94">
        <v>200</v>
      </c>
      <c r="O12" s="94">
        <v>250</v>
      </c>
      <c r="P12" s="94">
        <v>270</v>
      </c>
      <c r="Q12" s="94">
        <v>400</v>
      </c>
      <c r="R12" s="94">
        <v>410</v>
      </c>
      <c r="S12" s="94">
        <v>420</v>
      </c>
      <c r="T12" s="94">
        <v>430</v>
      </c>
      <c r="U12" s="94">
        <v>480</v>
      </c>
      <c r="V12" s="94">
        <v>580</v>
      </c>
      <c r="W12" s="94">
        <v>590</v>
      </c>
      <c r="X12" s="94">
        <v>610</v>
      </c>
      <c r="Y12" s="127">
        <v>624</v>
      </c>
    </row>
    <row r="13" spans="1:50">
      <c r="A13" s="93" t="s">
        <v>122</v>
      </c>
      <c r="B13" s="94" t="s">
        <v>116</v>
      </c>
      <c r="C13" s="94" t="s">
        <v>122</v>
      </c>
      <c r="D13" s="94" t="s">
        <v>18</v>
      </c>
      <c r="E13" s="94">
        <v>30713269905</v>
      </c>
      <c r="F13" s="116">
        <v>1.2</v>
      </c>
      <c r="G13" s="94">
        <v>1000</v>
      </c>
      <c r="H13" s="94">
        <v>60</v>
      </c>
      <c r="I13" s="94">
        <f t="shared" si="0"/>
        <v>85</v>
      </c>
      <c r="J13" s="94">
        <f t="shared" si="1"/>
        <v>155</v>
      </c>
      <c r="K13" s="94">
        <v>200</v>
      </c>
      <c r="L13" s="94">
        <v>210</v>
      </c>
      <c r="M13" s="94">
        <f t="shared" si="2"/>
        <v>220</v>
      </c>
      <c r="N13" s="94">
        <f t="shared" si="3"/>
        <v>270</v>
      </c>
      <c r="O13" s="94">
        <f t="shared" si="4"/>
        <v>330</v>
      </c>
      <c r="P13" s="94">
        <f t="shared" si="5"/>
        <v>350</v>
      </c>
      <c r="Q13" s="94">
        <v>400</v>
      </c>
      <c r="R13" s="94">
        <v>500</v>
      </c>
      <c r="S13" s="94">
        <f t="shared" si="6"/>
        <v>510</v>
      </c>
      <c r="T13" s="94">
        <f>+S13+20</f>
        <v>530</v>
      </c>
      <c r="U13" s="94">
        <f>+T13+100</f>
        <v>630</v>
      </c>
      <c r="V13" s="94">
        <f>+U13+200</f>
        <v>830</v>
      </c>
      <c r="W13" s="94">
        <f t="shared" ref="W13:W18" si="7">+V13+10</f>
        <v>840</v>
      </c>
      <c r="X13" s="94">
        <f t="shared" ref="X13:X18" si="8">+W13+20</f>
        <v>860</v>
      </c>
      <c r="Y13" s="127">
        <v>1000</v>
      </c>
    </row>
    <row r="14" spans="1:50">
      <c r="A14" s="93" t="s">
        <v>206</v>
      </c>
      <c r="B14" s="94" t="s">
        <v>123</v>
      </c>
      <c r="C14" s="94" t="s">
        <v>206</v>
      </c>
      <c r="D14" s="94" t="s">
        <v>18</v>
      </c>
      <c r="E14" s="94">
        <v>6880380834</v>
      </c>
      <c r="F14" s="116">
        <v>0.31</v>
      </c>
      <c r="G14" s="94">
        <v>217</v>
      </c>
      <c r="H14" s="94">
        <v>20</v>
      </c>
      <c r="I14" s="94">
        <v>35</v>
      </c>
      <c r="J14" s="94">
        <v>45</v>
      </c>
      <c r="K14" s="94">
        <v>50</v>
      </c>
      <c r="L14" s="94">
        <v>60</v>
      </c>
      <c r="M14" s="94">
        <v>62</v>
      </c>
      <c r="N14" s="94">
        <v>70</v>
      </c>
      <c r="O14" s="94">
        <v>75</v>
      </c>
      <c r="P14" s="94">
        <f t="shared" si="5"/>
        <v>95</v>
      </c>
      <c r="Q14" s="94">
        <v>110</v>
      </c>
      <c r="R14" s="94">
        <v>120</v>
      </c>
      <c r="S14" s="94">
        <f t="shared" si="6"/>
        <v>130</v>
      </c>
      <c r="T14" s="94">
        <v>150</v>
      </c>
      <c r="U14" s="94">
        <v>175</v>
      </c>
      <c r="V14" s="94">
        <v>180</v>
      </c>
      <c r="W14" s="94">
        <v>185</v>
      </c>
      <c r="X14" s="94">
        <v>200</v>
      </c>
      <c r="Y14" s="127">
        <v>217</v>
      </c>
    </row>
    <row r="15" spans="1:50" ht="26.25">
      <c r="A15" s="93" t="s">
        <v>207</v>
      </c>
      <c r="B15" s="94" t="s">
        <v>123</v>
      </c>
      <c r="C15" s="94" t="s">
        <v>207</v>
      </c>
      <c r="D15" s="94" t="s">
        <v>18</v>
      </c>
      <c r="E15" s="94">
        <v>22802905997</v>
      </c>
      <c r="F15" s="116">
        <v>0.72</v>
      </c>
      <c r="G15" s="94">
        <v>719</v>
      </c>
      <c r="H15" s="94">
        <v>10</v>
      </c>
      <c r="I15" s="94">
        <f t="shared" si="0"/>
        <v>35</v>
      </c>
      <c r="J15" s="94">
        <f t="shared" si="1"/>
        <v>105</v>
      </c>
      <c r="K15" s="94">
        <v>200</v>
      </c>
      <c r="L15" s="94">
        <v>220</v>
      </c>
      <c r="M15" s="94">
        <f t="shared" si="2"/>
        <v>230</v>
      </c>
      <c r="N15" s="94">
        <f t="shared" si="3"/>
        <v>280</v>
      </c>
      <c r="O15" s="94">
        <f t="shared" si="4"/>
        <v>340</v>
      </c>
      <c r="P15" s="94">
        <f t="shared" si="5"/>
        <v>360</v>
      </c>
      <c r="Q15" s="94">
        <v>400</v>
      </c>
      <c r="R15" s="94">
        <v>420</v>
      </c>
      <c r="S15" s="94">
        <f t="shared" si="6"/>
        <v>430</v>
      </c>
      <c r="T15" s="94">
        <f>+S15+10</f>
        <v>440</v>
      </c>
      <c r="U15" s="94">
        <f>+T15+50</f>
        <v>490</v>
      </c>
      <c r="V15" s="94">
        <f>+U15+110</f>
        <v>600</v>
      </c>
      <c r="W15" s="94">
        <f t="shared" si="7"/>
        <v>610</v>
      </c>
      <c r="X15" s="94">
        <f t="shared" si="8"/>
        <v>630</v>
      </c>
      <c r="Y15" s="127">
        <v>719</v>
      </c>
    </row>
    <row r="16" spans="1:50">
      <c r="A16" s="93" t="s">
        <v>208</v>
      </c>
      <c r="B16" s="94" t="s">
        <v>123</v>
      </c>
      <c r="C16" s="94" t="s">
        <v>208</v>
      </c>
      <c r="D16" s="94" t="s">
        <v>18</v>
      </c>
      <c r="E16" s="94">
        <v>9349545113</v>
      </c>
      <c r="F16" s="116">
        <v>0.42</v>
      </c>
      <c r="G16" s="94">
        <v>293</v>
      </c>
      <c r="H16" s="94">
        <v>10</v>
      </c>
      <c r="I16" s="94">
        <v>20</v>
      </c>
      <c r="J16" s="94">
        <v>30</v>
      </c>
      <c r="K16" s="94">
        <v>50</v>
      </c>
      <c r="L16" s="94">
        <v>60</v>
      </c>
      <c r="M16" s="94">
        <f t="shared" si="2"/>
        <v>70</v>
      </c>
      <c r="N16" s="94">
        <v>80</v>
      </c>
      <c r="O16" s="94">
        <v>85</v>
      </c>
      <c r="P16" s="94">
        <v>90</v>
      </c>
      <c r="Q16" s="94">
        <v>100</v>
      </c>
      <c r="R16" s="94">
        <v>110</v>
      </c>
      <c r="S16" s="94">
        <f t="shared" si="6"/>
        <v>120</v>
      </c>
      <c r="T16" s="94">
        <v>130</v>
      </c>
      <c r="U16" s="94">
        <v>150</v>
      </c>
      <c r="V16" s="94">
        <v>160</v>
      </c>
      <c r="W16" s="94">
        <v>180</v>
      </c>
      <c r="X16" s="94">
        <v>185</v>
      </c>
      <c r="Y16" s="127">
        <v>293</v>
      </c>
    </row>
    <row r="17" spans="1:25">
      <c r="A17" s="93" t="s">
        <v>209</v>
      </c>
      <c r="B17" s="94" t="s">
        <v>123</v>
      </c>
      <c r="C17" s="94" t="s">
        <v>209</v>
      </c>
      <c r="D17" s="94" t="s">
        <v>18</v>
      </c>
      <c r="E17" s="94">
        <v>24764667070</v>
      </c>
      <c r="F17" s="116">
        <v>1.1000000000000001</v>
      </c>
      <c r="G17" s="94">
        <v>777</v>
      </c>
      <c r="H17" s="94">
        <v>60</v>
      </c>
      <c r="I17" s="94">
        <f t="shared" si="0"/>
        <v>85</v>
      </c>
      <c r="J17" s="94">
        <f t="shared" si="1"/>
        <v>155</v>
      </c>
      <c r="K17" s="94">
        <v>200</v>
      </c>
      <c r="L17" s="94">
        <v>225</v>
      </c>
      <c r="M17" s="94">
        <f t="shared" si="2"/>
        <v>235</v>
      </c>
      <c r="N17" s="94">
        <f t="shared" si="3"/>
        <v>285</v>
      </c>
      <c r="O17" s="94">
        <f t="shared" si="4"/>
        <v>345</v>
      </c>
      <c r="P17" s="94">
        <f t="shared" si="5"/>
        <v>365</v>
      </c>
      <c r="Q17" s="94">
        <v>300</v>
      </c>
      <c r="R17" s="94">
        <v>320</v>
      </c>
      <c r="S17" s="94">
        <f t="shared" si="6"/>
        <v>330</v>
      </c>
      <c r="T17" s="94">
        <f>+S17+10</f>
        <v>340</v>
      </c>
      <c r="U17" s="94">
        <f>+T17+50</f>
        <v>390</v>
      </c>
      <c r="V17" s="94">
        <f>+U17+110</f>
        <v>500</v>
      </c>
      <c r="W17" s="94">
        <f t="shared" si="7"/>
        <v>510</v>
      </c>
      <c r="X17" s="94">
        <f t="shared" si="8"/>
        <v>530</v>
      </c>
      <c r="Y17" s="127">
        <v>777</v>
      </c>
    </row>
    <row r="18" spans="1:25" ht="26.25">
      <c r="A18" s="95" t="s">
        <v>210</v>
      </c>
      <c r="B18" s="96" t="s">
        <v>185</v>
      </c>
      <c r="C18" s="96" t="s">
        <v>210</v>
      </c>
      <c r="D18" s="96" t="s">
        <v>18</v>
      </c>
      <c r="E18" s="96">
        <v>24437339433</v>
      </c>
      <c r="F18" s="117">
        <v>1.52</v>
      </c>
      <c r="G18" s="96">
        <v>755</v>
      </c>
      <c r="H18" s="96">
        <v>35</v>
      </c>
      <c r="I18" s="96">
        <f t="shared" si="0"/>
        <v>60</v>
      </c>
      <c r="J18" s="96">
        <f t="shared" si="1"/>
        <v>130</v>
      </c>
      <c r="K18" s="96">
        <v>200</v>
      </c>
      <c r="L18" s="96">
        <v>220</v>
      </c>
      <c r="M18" s="96">
        <f t="shared" si="2"/>
        <v>230</v>
      </c>
      <c r="N18" s="96">
        <f t="shared" si="3"/>
        <v>280</v>
      </c>
      <c r="O18" s="96">
        <f t="shared" si="4"/>
        <v>340</v>
      </c>
      <c r="P18" s="96">
        <f t="shared" si="5"/>
        <v>360</v>
      </c>
      <c r="Q18" s="96">
        <v>300</v>
      </c>
      <c r="R18" s="96">
        <v>310</v>
      </c>
      <c r="S18" s="96">
        <f t="shared" si="6"/>
        <v>320</v>
      </c>
      <c r="T18" s="96">
        <f>+S18+10</f>
        <v>330</v>
      </c>
      <c r="U18" s="96">
        <f>+T18+50</f>
        <v>380</v>
      </c>
      <c r="V18" s="96">
        <f>+U18+110</f>
        <v>490</v>
      </c>
      <c r="W18" s="96">
        <f t="shared" si="7"/>
        <v>500</v>
      </c>
      <c r="X18" s="96">
        <f t="shared" si="8"/>
        <v>520</v>
      </c>
      <c r="Y18" s="141">
        <v>755</v>
      </c>
    </row>
    <row r="19" spans="1:25" ht="26.65" thickBot="1">
      <c r="A19" s="95" t="s">
        <v>127</v>
      </c>
      <c r="B19" s="96" t="s">
        <v>126</v>
      </c>
      <c r="C19" s="96" t="s">
        <v>126</v>
      </c>
      <c r="D19" s="96" t="s">
        <v>183</v>
      </c>
      <c r="E19" s="96">
        <v>41281267500</v>
      </c>
      <c r="F19" s="117">
        <v>4.3499999999999996</v>
      </c>
      <c r="G19" s="96">
        <v>2500</v>
      </c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</row>
    <row r="20" spans="1:25" ht="14.65" thickBot="1">
      <c r="A20" s="156"/>
      <c r="B20" s="156"/>
      <c r="C20" s="156"/>
      <c r="D20" s="156"/>
      <c r="E20" s="156"/>
      <c r="F20" s="157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</row>
    <row r="21" spans="1:25" ht="14.65" thickBot="1">
      <c r="A21" s="209" t="s">
        <v>237</v>
      </c>
      <c r="B21" s="210"/>
      <c r="C21" s="210"/>
      <c r="D21" s="210"/>
      <c r="E21" s="143">
        <f t="shared" ref="E21:Y21" si="9">SUM(E2:E20)</f>
        <v>955641556897</v>
      </c>
      <c r="F21" s="144">
        <f t="shared" si="9"/>
        <v>39.390000000000008</v>
      </c>
      <c r="G21" s="142">
        <f t="shared" si="9"/>
        <v>31044</v>
      </c>
      <c r="H21" s="142">
        <f t="shared" si="9"/>
        <v>575</v>
      </c>
      <c r="I21" s="142">
        <f t="shared" si="9"/>
        <v>935</v>
      </c>
      <c r="J21" s="142">
        <f t="shared" si="9"/>
        <v>1765</v>
      </c>
      <c r="K21" s="142">
        <f t="shared" si="9"/>
        <v>2640</v>
      </c>
      <c r="L21" s="142">
        <f t="shared" si="9"/>
        <v>3170</v>
      </c>
      <c r="M21" s="142">
        <f t="shared" si="9"/>
        <v>3482</v>
      </c>
      <c r="N21" s="142">
        <f t="shared" si="9"/>
        <v>4210</v>
      </c>
      <c r="O21" s="142">
        <f t="shared" si="9"/>
        <v>5143</v>
      </c>
      <c r="P21" s="142">
        <f t="shared" si="9"/>
        <v>5462</v>
      </c>
      <c r="Q21" s="142">
        <f t="shared" si="9"/>
        <v>5880</v>
      </c>
      <c r="R21" s="142">
        <f t="shared" si="9"/>
        <v>7105</v>
      </c>
      <c r="S21" s="142">
        <f t="shared" si="9"/>
        <v>8220</v>
      </c>
      <c r="T21" s="142">
        <f t="shared" si="9"/>
        <v>10415</v>
      </c>
      <c r="U21" s="142">
        <f t="shared" si="9"/>
        <v>12815</v>
      </c>
      <c r="V21" s="142">
        <f t="shared" si="9"/>
        <v>15675</v>
      </c>
      <c r="W21" s="142">
        <f t="shared" si="9"/>
        <v>18820</v>
      </c>
      <c r="X21" s="142">
        <f t="shared" si="9"/>
        <v>21578</v>
      </c>
      <c r="Y21" s="145">
        <f t="shared" si="9"/>
        <v>28544</v>
      </c>
    </row>
    <row r="22" spans="1:25" s="135" customFormat="1">
      <c r="E22" s="136"/>
      <c r="F22" s="137"/>
      <c r="G22" s="137"/>
      <c r="K22" s="138"/>
      <c r="Q22" s="138"/>
      <c r="Y22" s="138"/>
    </row>
    <row r="23" spans="1:25" s="135" customFormat="1">
      <c r="E23" s="136"/>
      <c r="F23" s="137"/>
      <c r="G23" s="137"/>
      <c r="K23" s="138"/>
      <c r="Q23" s="138"/>
      <c r="Y23" s="138"/>
    </row>
    <row r="24" spans="1:25" s="135" customFormat="1">
      <c r="E24" s="136"/>
      <c r="F24" s="137"/>
      <c r="G24" s="137"/>
      <c r="K24" s="138"/>
      <c r="Q24" s="138"/>
      <c r="Y24" s="138"/>
    </row>
    <row r="25" spans="1:25" s="135" customFormat="1">
      <c r="E25" s="136"/>
      <c r="F25" s="137"/>
      <c r="G25" s="137" t="s">
        <v>238</v>
      </c>
      <c r="K25" s="138"/>
      <c r="Q25" s="138"/>
      <c r="Y25" s="138"/>
    </row>
    <row r="26" spans="1:25" s="135" customFormat="1">
      <c r="E26" s="136"/>
      <c r="F26" s="137"/>
      <c r="G26" s="137"/>
      <c r="K26" s="138"/>
      <c r="Q26" s="138"/>
      <c r="Y26" s="138"/>
    </row>
    <row r="27" spans="1:25" s="135" customFormat="1">
      <c r="E27" s="136"/>
      <c r="F27" s="137"/>
      <c r="G27" s="137"/>
      <c r="K27" s="138"/>
      <c r="Q27" s="138"/>
      <c r="Y27" s="138"/>
    </row>
    <row r="28" spans="1:25" s="135" customFormat="1">
      <c r="E28" s="136"/>
      <c r="F28" s="137"/>
      <c r="G28" s="137"/>
      <c r="K28" s="138"/>
      <c r="Q28" s="138"/>
      <c r="Y28" s="138"/>
    </row>
    <row r="29" spans="1:25" s="135" customFormat="1">
      <c r="E29" s="136"/>
      <c r="F29" s="137"/>
      <c r="G29" s="137"/>
      <c r="K29" s="138"/>
      <c r="Q29" s="138"/>
      <c r="Y29" s="138"/>
    </row>
    <row r="30" spans="1:25" s="135" customFormat="1">
      <c r="E30" s="136"/>
      <c r="F30" s="137"/>
      <c r="G30" s="137"/>
      <c r="K30" s="138"/>
      <c r="Q30" s="138"/>
      <c r="Y30" s="138"/>
    </row>
    <row r="31" spans="1:25" s="135" customFormat="1">
      <c r="E31" s="136"/>
      <c r="F31" s="137"/>
      <c r="G31" s="137"/>
      <c r="K31" s="138"/>
      <c r="Q31" s="138"/>
      <c r="Y31" s="138"/>
    </row>
    <row r="32" spans="1:25" s="135" customFormat="1">
      <c r="E32" s="136"/>
      <c r="F32" s="137"/>
      <c r="G32" s="137"/>
      <c r="K32" s="138"/>
      <c r="Q32" s="138"/>
      <c r="Y32" s="138"/>
    </row>
    <row r="33" spans="5:25" s="135" customFormat="1">
      <c r="E33" s="136"/>
      <c r="F33" s="137"/>
      <c r="G33" s="137"/>
      <c r="K33" s="138"/>
      <c r="Q33" s="138"/>
      <c r="Y33" s="138"/>
    </row>
    <row r="34" spans="5:25" s="135" customFormat="1">
      <c r="E34" s="136"/>
      <c r="F34" s="137"/>
      <c r="G34" s="137"/>
      <c r="K34" s="138"/>
      <c r="Q34" s="138"/>
      <c r="Y34" s="138"/>
    </row>
    <row r="35" spans="5:25" s="135" customFormat="1">
      <c r="E35" s="136"/>
      <c r="F35" s="137"/>
      <c r="G35" s="137"/>
      <c r="K35" s="138"/>
      <c r="Q35" s="138"/>
      <c r="Y35" s="138"/>
    </row>
    <row r="36" spans="5:25" s="135" customFormat="1">
      <c r="E36" s="136"/>
      <c r="F36" s="137"/>
      <c r="G36" s="137"/>
      <c r="K36" s="138"/>
      <c r="Q36" s="138"/>
      <c r="Y36" s="138"/>
    </row>
    <row r="37" spans="5:25" s="135" customFormat="1">
      <c r="E37" s="136"/>
      <c r="F37" s="137"/>
      <c r="G37" s="137"/>
      <c r="K37" s="138"/>
      <c r="Q37" s="138"/>
      <c r="Y37" s="138"/>
    </row>
    <row r="38" spans="5:25" s="135" customFormat="1">
      <c r="E38" s="136"/>
      <c r="F38" s="137"/>
      <c r="G38" s="137"/>
      <c r="K38" s="138"/>
      <c r="Q38" s="138"/>
      <c r="Y38" s="138"/>
    </row>
    <row r="39" spans="5:25" s="135" customFormat="1">
      <c r="E39" s="136"/>
      <c r="F39" s="137"/>
      <c r="G39" s="137"/>
      <c r="K39" s="138"/>
      <c r="Q39" s="138"/>
      <c r="Y39" s="138"/>
    </row>
    <row r="40" spans="5:25" s="135" customFormat="1">
      <c r="E40" s="136"/>
      <c r="F40" s="137"/>
      <c r="G40" s="137"/>
      <c r="K40" s="138"/>
      <c r="Q40" s="138"/>
      <c r="Y40" s="138"/>
    </row>
    <row r="41" spans="5:25" s="135" customFormat="1">
      <c r="E41" s="136"/>
      <c r="F41" s="137"/>
      <c r="G41" s="137"/>
      <c r="K41" s="138"/>
      <c r="Q41" s="138"/>
      <c r="Y41" s="138"/>
    </row>
    <row r="42" spans="5:25" s="135" customFormat="1">
      <c r="E42" s="136"/>
      <c r="F42" s="137"/>
      <c r="G42" s="137"/>
      <c r="K42" s="138"/>
      <c r="Q42" s="138"/>
      <c r="Y42" s="138"/>
    </row>
    <row r="43" spans="5:25" s="135" customFormat="1">
      <c r="E43" s="136"/>
      <c r="F43" s="137"/>
      <c r="G43" s="137"/>
      <c r="K43" s="138"/>
      <c r="Q43" s="138"/>
      <c r="Y43" s="138"/>
    </row>
    <row r="44" spans="5:25" s="135" customFormat="1">
      <c r="E44" s="136"/>
      <c r="F44" s="137"/>
      <c r="G44" s="137"/>
      <c r="K44" s="138"/>
      <c r="Q44" s="138"/>
      <c r="Y44" s="138"/>
    </row>
    <row r="45" spans="5:25" s="135" customFormat="1">
      <c r="E45" s="136"/>
      <c r="F45" s="137"/>
      <c r="G45" s="137"/>
      <c r="K45" s="138"/>
      <c r="Q45" s="138"/>
      <c r="Y45" s="138"/>
    </row>
    <row r="46" spans="5:25" s="135" customFormat="1">
      <c r="E46" s="136"/>
      <c r="F46" s="137"/>
      <c r="G46" s="137"/>
      <c r="K46" s="138"/>
      <c r="Q46" s="138"/>
      <c r="Y46" s="138"/>
    </row>
    <row r="47" spans="5:25" s="135" customFormat="1">
      <c r="E47" s="136"/>
      <c r="F47" s="137"/>
      <c r="G47" s="137"/>
      <c r="K47" s="138"/>
      <c r="Q47" s="138"/>
      <c r="Y47" s="138"/>
    </row>
    <row r="48" spans="5:25" s="135" customFormat="1">
      <c r="E48" s="136"/>
      <c r="F48" s="137"/>
      <c r="G48" s="137"/>
      <c r="K48" s="138"/>
      <c r="Q48" s="138"/>
      <c r="Y48" s="138"/>
    </row>
    <row r="49" spans="5:25" s="135" customFormat="1">
      <c r="E49" s="136"/>
      <c r="F49" s="137"/>
      <c r="G49" s="137"/>
      <c r="K49" s="138"/>
      <c r="Q49" s="138"/>
      <c r="Y49" s="138"/>
    </row>
    <row r="50" spans="5:25" s="135" customFormat="1">
      <c r="E50" s="136"/>
      <c r="F50" s="137"/>
      <c r="G50" s="137"/>
      <c r="K50" s="138"/>
      <c r="Q50" s="138"/>
      <c r="Y50" s="138"/>
    </row>
    <row r="51" spans="5:25" s="135" customFormat="1">
      <c r="E51" s="136"/>
      <c r="F51" s="137"/>
      <c r="G51" s="137"/>
      <c r="K51" s="138"/>
      <c r="Q51" s="138"/>
      <c r="Y51" s="138"/>
    </row>
    <row r="52" spans="5:25" s="135" customFormat="1">
      <c r="E52" s="136"/>
      <c r="F52" s="137"/>
      <c r="G52" s="137"/>
      <c r="K52" s="138"/>
      <c r="Q52" s="138"/>
      <c r="Y52" s="138"/>
    </row>
    <row r="53" spans="5:25" s="135" customFormat="1">
      <c r="E53" s="136"/>
      <c r="F53" s="137"/>
      <c r="G53" s="137"/>
      <c r="K53" s="138"/>
      <c r="Q53" s="138"/>
      <c r="Y53" s="138"/>
    </row>
    <row r="54" spans="5:25" s="135" customFormat="1">
      <c r="E54" s="136"/>
      <c r="F54" s="137"/>
      <c r="G54" s="137"/>
      <c r="K54" s="138"/>
      <c r="Q54" s="138"/>
      <c r="Y54" s="138"/>
    </row>
    <row r="55" spans="5:25" s="135" customFormat="1">
      <c r="E55" s="136"/>
      <c r="F55" s="137"/>
      <c r="G55" s="137"/>
      <c r="K55" s="138"/>
      <c r="Q55" s="138"/>
      <c r="Y55" s="138"/>
    </row>
    <row r="56" spans="5:25" s="135" customFormat="1">
      <c r="E56" s="136"/>
      <c r="F56" s="137"/>
      <c r="G56" s="137"/>
      <c r="K56" s="138"/>
      <c r="Q56" s="138"/>
      <c r="Y56" s="138"/>
    </row>
    <row r="57" spans="5:25" s="135" customFormat="1">
      <c r="E57" s="136"/>
      <c r="F57" s="137"/>
      <c r="G57" s="137"/>
      <c r="K57" s="138"/>
      <c r="Q57" s="138"/>
      <c r="Y57" s="138"/>
    </row>
    <row r="58" spans="5:25" s="135" customFormat="1">
      <c r="E58" s="136"/>
      <c r="F58" s="137"/>
      <c r="G58" s="137"/>
      <c r="K58" s="138"/>
      <c r="Q58" s="138"/>
      <c r="Y58" s="138"/>
    </row>
    <row r="59" spans="5:25" s="135" customFormat="1">
      <c r="E59" s="136"/>
      <c r="F59" s="137"/>
      <c r="G59" s="137"/>
      <c r="K59" s="138"/>
      <c r="Q59" s="138"/>
      <c r="Y59" s="138"/>
    </row>
    <row r="60" spans="5:25" s="135" customFormat="1">
      <c r="E60" s="136"/>
      <c r="F60" s="137"/>
      <c r="G60" s="137"/>
      <c r="K60" s="138"/>
      <c r="Q60" s="138"/>
      <c r="Y60" s="138"/>
    </row>
    <row r="61" spans="5:25" s="135" customFormat="1">
      <c r="E61" s="136"/>
      <c r="F61" s="137"/>
      <c r="G61" s="137"/>
      <c r="K61" s="138"/>
      <c r="Q61" s="138"/>
      <c r="Y61" s="138"/>
    </row>
    <row r="62" spans="5:25" s="135" customFormat="1">
      <c r="E62" s="136"/>
      <c r="F62" s="137"/>
      <c r="G62" s="137"/>
      <c r="K62" s="138"/>
      <c r="Q62" s="138"/>
      <c r="Y62" s="138"/>
    </row>
    <row r="63" spans="5:25" s="135" customFormat="1">
      <c r="E63" s="136"/>
      <c r="F63" s="137"/>
      <c r="G63" s="137"/>
      <c r="K63" s="138"/>
      <c r="Q63" s="138"/>
      <c r="Y63" s="138"/>
    </row>
    <row r="64" spans="5:25" s="135" customFormat="1">
      <c r="E64" s="136"/>
      <c r="F64" s="137"/>
      <c r="G64" s="137"/>
      <c r="K64" s="138"/>
      <c r="Q64" s="138"/>
      <c r="Y64" s="138"/>
    </row>
    <row r="65" spans="5:25" s="135" customFormat="1">
      <c r="E65" s="136"/>
      <c r="F65" s="137"/>
      <c r="G65" s="137"/>
      <c r="K65" s="138"/>
      <c r="Q65" s="138"/>
      <c r="Y65" s="138"/>
    </row>
    <row r="66" spans="5:25" s="135" customFormat="1">
      <c r="E66" s="136"/>
      <c r="F66" s="137"/>
      <c r="G66" s="137"/>
      <c r="K66" s="138"/>
      <c r="Q66" s="138"/>
      <c r="Y66" s="138"/>
    </row>
    <row r="67" spans="5:25" s="135" customFormat="1">
      <c r="E67" s="136"/>
      <c r="F67" s="137"/>
      <c r="G67" s="137"/>
      <c r="K67" s="138"/>
      <c r="Q67" s="138"/>
      <c r="Y67" s="138"/>
    </row>
    <row r="68" spans="5:25" s="135" customFormat="1">
      <c r="E68" s="136"/>
      <c r="F68" s="137"/>
      <c r="G68" s="137"/>
      <c r="K68" s="138"/>
      <c r="Q68" s="138"/>
      <c r="Y68" s="138"/>
    </row>
    <row r="69" spans="5:25" s="135" customFormat="1">
      <c r="E69" s="136"/>
      <c r="F69" s="137"/>
      <c r="G69" s="137"/>
      <c r="K69" s="138"/>
      <c r="Q69" s="138"/>
      <c r="Y69" s="138"/>
    </row>
    <row r="70" spans="5:25" s="135" customFormat="1">
      <c r="E70" s="136"/>
      <c r="F70" s="137"/>
      <c r="G70" s="137"/>
      <c r="K70" s="138"/>
      <c r="Q70" s="138"/>
      <c r="Y70" s="138"/>
    </row>
    <row r="71" spans="5:25" s="135" customFormat="1">
      <c r="E71" s="136"/>
      <c r="F71" s="137"/>
      <c r="G71" s="137"/>
      <c r="K71" s="138"/>
      <c r="Q71" s="138"/>
      <c r="Y71" s="138"/>
    </row>
    <row r="72" spans="5:25" s="135" customFormat="1">
      <c r="E72" s="136"/>
      <c r="F72" s="137"/>
      <c r="G72" s="137"/>
      <c r="K72" s="138"/>
      <c r="Q72" s="138"/>
      <c r="Y72" s="138"/>
    </row>
    <row r="73" spans="5:25" s="135" customFormat="1">
      <c r="E73" s="136"/>
      <c r="F73" s="137"/>
      <c r="G73" s="137"/>
      <c r="K73" s="138"/>
      <c r="Q73" s="138"/>
      <c r="Y73" s="138"/>
    </row>
    <row r="74" spans="5:25" s="135" customFormat="1">
      <c r="E74" s="136"/>
      <c r="F74" s="137"/>
      <c r="G74" s="137"/>
      <c r="K74" s="138"/>
      <c r="Q74" s="138"/>
      <c r="Y74" s="138"/>
    </row>
    <row r="75" spans="5:25" s="135" customFormat="1">
      <c r="E75" s="136"/>
      <c r="F75" s="137"/>
      <c r="G75" s="137"/>
      <c r="K75" s="138"/>
      <c r="Q75" s="138"/>
      <c r="Y75" s="138"/>
    </row>
    <row r="76" spans="5:25" s="135" customFormat="1">
      <c r="E76" s="136"/>
      <c r="F76" s="137"/>
      <c r="G76" s="137"/>
      <c r="K76" s="138"/>
      <c r="Q76" s="138"/>
      <c r="Y76" s="138"/>
    </row>
    <row r="77" spans="5:25" s="135" customFormat="1">
      <c r="E77" s="136"/>
      <c r="F77" s="137"/>
      <c r="G77" s="137"/>
      <c r="K77" s="138"/>
      <c r="Q77" s="138"/>
      <c r="Y77" s="138"/>
    </row>
    <row r="78" spans="5:25" s="135" customFormat="1">
      <c r="E78" s="136"/>
      <c r="F78" s="137"/>
      <c r="G78" s="137"/>
      <c r="K78" s="138"/>
      <c r="Q78" s="138"/>
      <c r="Y78" s="138"/>
    </row>
    <row r="79" spans="5:25" s="135" customFormat="1">
      <c r="E79" s="136"/>
      <c r="F79" s="137"/>
      <c r="G79" s="137"/>
      <c r="K79" s="138"/>
      <c r="Q79" s="138"/>
      <c r="Y79" s="138"/>
    </row>
    <row r="80" spans="5:25" s="135" customFormat="1">
      <c r="E80" s="136"/>
      <c r="F80" s="137"/>
      <c r="G80" s="137"/>
      <c r="K80" s="138"/>
      <c r="Q80" s="138"/>
      <c r="Y80" s="138"/>
    </row>
    <row r="81" spans="5:25" s="135" customFormat="1">
      <c r="E81" s="136"/>
      <c r="F81" s="137"/>
      <c r="G81" s="137"/>
      <c r="K81" s="138"/>
      <c r="Q81" s="138"/>
      <c r="Y81" s="138"/>
    </row>
    <row r="82" spans="5:25" s="135" customFormat="1">
      <c r="E82" s="136"/>
      <c r="F82" s="137"/>
      <c r="G82" s="137"/>
      <c r="K82" s="138"/>
      <c r="Q82" s="138"/>
      <c r="Y82" s="138"/>
    </row>
    <row r="83" spans="5:25" s="135" customFormat="1">
      <c r="E83" s="136"/>
      <c r="F83" s="137"/>
      <c r="G83" s="137"/>
      <c r="K83" s="138"/>
      <c r="Q83" s="138"/>
      <c r="Y83" s="138"/>
    </row>
    <row r="84" spans="5:25" s="135" customFormat="1">
      <c r="E84" s="136"/>
      <c r="F84" s="137"/>
      <c r="G84" s="137"/>
      <c r="K84" s="138"/>
      <c r="Q84" s="138"/>
      <c r="Y84" s="138"/>
    </row>
    <row r="85" spans="5:25" s="135" customFormat="1">
      <c r="E85" s="136"/>
      <c r="F85" s="137"/>
      <c r="G85" s="137"/>
      <c r="K85" s="138"/>
      <c r="Q85" s="138"/>
      <c r="Y85" s="138"/>
    </row>
    <row r="86" spans="5:25" s="135" customFormat="1">
      <c r="E86" s="136"/>
      <c r="F86" s="137"/>
      <c r="G86" s="137"/>
      <c r="K86" s="138"/>
      <c r="Q86" s="138"/>
      <c r="Y86" s="138"/>
    </row>
    <row r="87" spans="5:25" s="135" customFormat="1">
      <c r="E87" s="136"/>
      <c r="F87" s="137"/>
      <c r="G87" s="137"/>
      <c r="K87" s="138"/>
      <c r="Q87" s="138"/>
      <c r="Y87" s="138"/>
    </row>
    <row r="88" spans="5:25" s="135" customFormat="1">
      <c r="E88" s="136"/>
      <c r="F88" s="137"/>
      <c r="G88" s="137"/>
      <c r="K88" s="138"/>
      <c r="Q88" s="138"/>
      <c r="Y88" s="138"/>
    </row>
    <row r="89" spans="5:25" s="135" customFormat="1">
      <c r="E89" s="136"/>
      <c r="F89" s="137"/>
      <c r="G89" s="137"/>
      <c r="K89" s="138"/>
      <c r="Q89" s="138"/>
      <c r="Y89" s="138"/>
    </row>
    <row r="90" spans="5:25" s="135" customFormat="1">
      <c r="E90" s="136"/>
      <c r="F90" s="137"/>
      <c r="G90" s="137"/>
      <c r="K90" s="138"/>
      <c r="Q90" s="138"/>
      <c r="Y90" s="138"/>
    </row>
    <row r="91" spans="5:25" s="135" customFormat="1">
      <c r="E91" s="136"/>
      <c r="F91" s="137"/>
      <c r="G91" s="137"/>
      <c r="K91" s="138"/>
      <c r="Q91" s="138"/>
      <c r="Y91" s="138"/>
    </row>
    <row r="92" spans="5:25" s="135" customFormat="1">
      <c r="E92" s="136"/>
      <c r="F92" s="137"/>
      <c r="G92" s="137"/>
      <c r="K92" s="138"/>
      <c r="Q92" s="138"/>
      <c r="Y92" s="138"/>
    </row>
    <row r="93" spans="5:25" s="135" customFormat="1">
      <c r="E93" s="136"/>
      <c r="F93" s="137"/>
      <c r="G93" s="137"/>
      <c r="K93" s="138"/>
      <c r="Q93" s="138"/>
      <c r="Y93" s="138"/>
    </row>
    <row r="94" spans="5:25" s="135" customFormat="1">
      <c r="E94" s="136"/>
      <c r="F94" s="137"/>
      <c r="G94" s="137"/>
      <c r="K94" s="138"/>
      <c r="Q94" s="138"/>
      <c r="Y94" s="138"/>
    </row>
    <row r="95" spans="5:25" s="135" customFormat="1">
      <c r="E95" s="136"/>
      <c r="F95" s="137"/>
      <c r="G95" s="137"/>
      <c r="K95" s="138"/>
      <c r="Q95" s="138"/>
      <c r="Y95" s="138"/>
    </row>
    <row r="96" spans="5:25" s="135" customFormat="1">
      <c r="E96" s="136"/>
      <c r="F96" s="137"/>
      <c r="G96" s="137"/>
      <c r="K96" s="138"/>
      <c r="Q96" s="138"/>
      <c r="Y96" s="138"/>
    </row>
    <row r="97" spans="5:25" s="135" customFormat="1">
      <c r="E97" s="136"/>
      <c r="F97" s="137"/>
      <c r="G97" s="137"/>
      <c r="K97" s="138"/>
      <c r="Q97" s="138"/>
      <c r="Y97" s="138"/>
    </row>
    <row r="98" spans="5:25" s="135" customFormat="1">
      <c r="E98" s="136"/>
      <c r="F98" s="137"/>
      <c r="G98" s="137"/>
      <c r="K98" s="138"/>
      <c r="Q98" s="138"/>
      <c r="Y98" s="138"/>
    </row>
    <row r="99" spans="5:25" s="135" customFormat="1">
      <c r="E99" s="136"/>
      <c r="F99" s="137"/>
      <c r="G99" s="137"/>
      <c r="K99" s="138"/>
      <c r="Q99" s="138"/>
      <c r="Y99" s="138"/>
    </row>
    <row r="100" spans="5:25" s="135" customFormat="1">
      <c r="E100" s="136"/>
      <c r="F100" s="137"/>
      <c r="G100" s="137"/>
      <c r="K100" s="138"/>
      <c r="Q100" s="138"/>
      <c r="Y100" s="138"/>
    </row>
    <row r="101" spans="5:25" s="135" customFormat="1">
      <c r="E101" s="136"/>
      <c r="F101" s="137"/>
      <c r="G101" s="137"/>
      <c r="K101" s="138"/>
      <c r="Q101" s="138"/>
      <c r="Y101" s="138"/>
    </row>
    <row r="102" spans="5:25" s="135" customFormat="1">
      <c r="E102" s="136"/>
      <c r="F102" s="137"/>
      <c r="G102" s="137"/>
      <c r="K102" s="138"/>
      <c r="Q102" s="138"/>
      <c r="Y102" s="138"/>
    </row>
    <row r="103" spans="5:25" s="135" customFormat="1">
      <c r="E103" s="136"/>
      <c r="F103" s="137"/>
      <c r="G103" s="137"/>
      <c r="K103" s="138"/>
      <c r="Q103" s="138"/>
      <c r="Y103" s="138"/>
    </row>
    <row r="104" spans="5:25" s="135" customFormat="1">
      <c r="E104" s="136"/>
      <c r="F104" s="137"/>
      <c r="G104" s="137"/>
      <c r="K104" s="138"/>
      <c r="Q104" s="138"/>
      <c r="Y104" s="138"/>
    </row>
    <row r="105" spans="5:25" s="135" customFormat="1">
      <c r="E105" s="136"/>
      <c r="F105" s="137"/>
      <c r="G105" s="137"/>
      <c r="K105" s="138"/>
      <c r="Q105" s="138"/>
      <c r="Y105" s="138"/>
    </row>
    <row r="106" spans="5:25" s="135" customFormat="1">
      <c r="E106" s="136"/>
      <c r="F106" s="137"/>
      <c r="G106" s="137"/>
      <c r="K106" s="138"/>
      <c r="Q106" s="138"/>
      <c r="Y106" s="138"/>
    </row>
    <row r="107" spans="5:25" s="135" customFormat="1">
      <c r="E107" s="136"/>
      <c r="F107" s="137"/>
      <c r="G107" s="137"/>
      <c r="K107" s="138"/>
      <c r="Q107" s="138"/>
      <c r="Y107" s="138"/>
    </row>
    <row r="108" spans="5:25" s="135" customFormat="1">
      <c r="E108" s="136"/>
      <c r="F108" s="137"/>
      <c r="G108" s="137"/>
      <c r="K108" s="138"/>
      <c r="Q108" s="138"/>
      <c r="Y108" s="138"/>
    </row>
    <row r="109" spans="5:25" s="135" customFormat="1">
      <c r="E109" s="136"/>
      <c r="F109" s="137"/>
      <c r="G109" s="137"/>
      <c r="K109" s="138"/>
      <c r="Q109" s="138"/>
      <c r="Y109" s="138"/>
    </row>
    <row r="110" spans="5:25" s="135" customFormat="1">
      <c r="E110" s="136"/>
      <c r="F110" s="137"/>
      <c r="G110" s="137"/>
      <c r="K110" s="138"/>
      <c r="Q110" s="138"/>
      <c r="Y110" s="138"/>
    </row>
    <row r="111" spans="5:25" s="135" customFormat="1">
      <c r="E111" s="136"/>
      <c r="F111" s="137"/>
      <c r="G111" s="137"/>
      <c r="K111" s="138"/>
      <c r="Q111" s="138"/>
      <c r="Y111" s="138"/>
    </row>
    <row r="112" spans="5:25" s="135" customFormat="1">
      <c r="E112" s="136"/>
      <c r="F112" s="137"/>
      <c r="G112" s="137"/>
      <c r="K112" s="138"/>
      <c r="Q112" s="138"/>
      <c r="Y112" s="138"/>
    </row>
    <row r="113" spans="5:25" s="135" customFormat="1">
      <c r="E113" s="136"/>
      <c r="F113" s="137"/>
      <c r="G113" s="137"/>
      <c r="K113" s="138"/>
      <c r="Q113" s="138"/>
      <c r="Y113" s="138"/>
    </row>
    <row r="114" spans="5:25" s="135" customFormat="1">
      <c r="E114" s="136"/>
      <c r="F114" s="137"/>
      <c r="G114" s="137"/>
      <c r="K114" s="138"/>
      <c r="Q114" s="138"/>
      <c r="Y114" s="138"/>
    </row>
    <row r="115" spans="5:25" s="135" customFormat="1">
      <c r="E115" s="136"/>
      <c r="F115" s="137"/>
      <c r="G115" s="137"/>
      <c r="K115" s="138"/>
      <c r="Q115" s="138"/>
      <c r="Y115" s="138"/>
    </row>
    <row r="116" spans="5:25" s="135" customFormat="1">
      <c r="E116" s="136"/>
      <c r="F116" s="137"/>
      <c r="G116" s="137"/>
      <c r="K116" s="138"/>
      <c r="Q116" s="138"/>
      <c r="Y116" s="138"/>
    </row>
    <row r="117" spans="5:25" s="135" customFormat="1">
      <c r="E117" s="136"/>
      <c r="F117" s="137"/>
      <c r="G117" s="137"/>
      <c r="K117" s="138"/>
      <c r="Q117" s="138"/>
      <c r="Y117" s="138"/>
    </row>
    <row r="118" spans="5:25" s="135" customFormat="1">
      <c r="E118" s="136"/>
      <c r="F118" s="137"/>
      <c r="G118" s="137"/>
      <c r="K118" s="138"/>
      <c r="Q118" s="138"/>
      <c r="Y118" s="138"/>
    </row>
    <row r="119" spans="5:25" s="135" customFormat="1">
      <c r="E119" s="136"/>
      <c r="F119" s="137"/>
      <c r="G119" s="137"/>
      <c r="K119" s="138"/>
      <c r="Q119" s="138"/>
      <c r="Y119" s="138"/>
    </row>
    <row r="120" spans="5:25" s="135" customFormat="1">
      <c r="E120" s="136"/>
      <c r="F120" s="137"/>
      <c r="G120" s="137"/>
      <c r="K120" s="138"/>
      <c r="Q120" s="138"/>
      <c r="Y120" s="138"/>
    </row>
    <row r="121" spans="5:25" s="135" customFormat="1">
      <c r="E121" s="136"/>
      <c r="F121" s="137"/>
      <c r="G121" s="137"/>
      <c r="K121" s="138"/>
      <c r="Q121" s="138"/>
      <c r="Y121" s="138"/>
    </row>
    <row r="122" spans="5:25" s="135" customFormat="1">
      <c r="E122" s="136"/>
      <c r="F122" s="137"/>
      <c r="G122" s="137"/>
      <c r="K122" s="138"/>
      <c r="Q122" s="138"/>
      <c r="Y122" s="138"/>
    </row>
    <row r="123" spans="5:25" s="135" customFormat="1">
      <c r="E123" s="136"/>
      <c r="F123" s="137"/>
      <c r="G123" s="137"/>
      <c r="K123" s="138"/>
      <c r="Q123" s="138"/>
      <c r="Y123" s="138"/>
    </row>
    <row r="124" spans="5:25" s="135" customFormat="1">
      <c r="E124" s="136"/>
      <c r="F124" s="137"/>
      <c r="G124" s="137"/>
      <c r="K124" s="138"/>
      <c r="Q124" s="138"/>
      <c r="Y124" s="138"/>
    </row>
    <row r="125" spans="5:25" s="135" customFormat="1">
      <c r="E125" s="136"/>
      <c r="F125" s="137"/>
      <c r="G125" s="137"/>
      <c r="K125" s="138"/>
      <c r="Q125" s="138"/>
      <c r="Y125" s="138"/>
    </row>
    <row r="126" spans="5:25" s="135" customFormat="1">
      <c r="E126" s="136"/>
      <c r="F126" s="137"/>
      <c r="G126" s="137"/>
      <c r="K126" s="138"/>
      <c r="Q126" s="138"/>
      <c r="Y126" s="138"/>
    </row>
    <row r="127" spans="5:25" s="135" customFormat="1">
      <c r="E127" s="136"/>
      <c r="F127" s="137"/>
      <c r="G127" s="137"/>
      <c r="K127" s="138"/>
      <c r="Q127" s="138"/>
      <c r="Y127" s="138"/>
    </row>
    <row r="128" spans="5:25" s="135" customFormat="1">
      <c r="E128" s="136"/>
      <c r="F128" s="137"/>
      <c r="G128" s="137"/>
      <c r="K128" s="138"/>
      <c r="Q128" s="138"/>
      <c r="Y128" s="138"/>
    </row>
    <row r="129" spans="5:25" s="135" customFormat="1">
      <c r="E129" s="136"/>
      <c r="F129" s="137"/>
      <c r="G129" s="137"/>
      <c r="K129" s="138"/>
      <c r="Q129" s="138"/>
      <c r="Y129" s="138"/>
    </row>
    <row r="130" spans="5:25" s="135" customFormat="1">
      <c r="E130" s="136"/>
      <c r="F130" s="137"/>
      <c r="G130" s="137"/>
      <c r="K130" s="138"/>
      <c r="Q130" s="138"/>
      <c r="Y130" s="138"/>
    </row>
    <row r="131" spans="5:25" s="135" customFormat="1">
      <c r="E131" s="136"/>
      <c r="F131" s="137"/>
      <c r="G131" s="137"/>
      <c r="K131" s="138"/>
      <c r="Q131" s="138"/>
      <c r="Y131" s="138"/>
    </row>
    <row r="132" spans="5:25" s="135" customFormat="1">
      <c r="E132" s="136"/>
      <c r="F132" s="137"/>
      <c r="G132" s="137"/>
      <c r="K132" s="138"/>
      <c r="Q132" s="138"/>
      <c r="Y132" s="138"/>
    </row>
    <row r="133" spans="5:25" s="135" customFormat="1">
      <c r="E133" s="136"/>
      <c r="F133" s="137"/>
      <c r="G133" s="137"/>
      <c r="K133" s="138"/>
      <c r="Q133" s="138"/>
      <c r="Y133" s="138"/>
    </row>
    <row r="134" spans="5:25" s="135" customFormat="1">
      <c r="E134" s="136"/>
      <c r="F134" s="137"/>
      <c r="G134" s="137"/>
      <c r="K134" s="138"/>
      <c r="Q134" s="138"/>
      <c r="Y134" s="138"/>
    </row>
    <row r="135" spans="5:25" s="135" customFormat="1">
      <c r="E135" s="136"/>
      <c r="F135" s="137"/>
      <c r="G135" s="137"/>
      <c r="K135" s="138"/>
      <c r="Q135" s="138"/>
      <c r="Y135" s="138"/>
    </row>
    <row r="136" spans="5:25" s="135" customFormat="1">
      <c r="E136" s="136"/>
      <c r="F136" s="137"/>
      <c r="G136" s="137"/>
      <c r="K136" s="138"/>
      <c r="Q136" s="138"/>
      <c r="Y136" s="138"/>
    </row>
    <row r="137" spans="5:25" s="135" customFormat="1">
      <c r="E137" s="136"/>
      <c r="F137" s="137"/>
      <c r="G137" s="137"/>
      <c r="K137" s="138"/>
      <c r="Q137" s="138"/>
      <c r="Y137" s="138"/>
    </row>
    <row r="138" spans="5:25" s="135" customFormat="1">
      <c r="E138" s="136"/>
      <c r="F138" s="137"/>
      <c r="G138" s="137"/>
      <c r="K138" s="138"/>
      <c r="Q138" s="138"/>
      <c r="Y138" s="138"/>
    </row>
    <row r="139" spans="5:25" s="135" customFormat="1">
      <c r="E139" s="136"/>
      <c r="F139" s="137"/>
      <c r="G139" s="137"/>
      <c r="K139" s="138"/>
      <c r="Q139" s="138"/>
      <c r="Y139" s="138"/>
    </row>
    <row r="140" spans="5:25" s="135" customFormat="1">
      <c r="E140" s="136"/>
      <c r="F140" s="137"/>
      <c r="G140" s="137"/>
      <c r="K140" s="138"/>
      <c r="Q140" s="138"/>
      <c r="Y140" s="138"/>
    </row>
    <row r="141" spans="5:25" s="135" customFormat="1">
      <c r="E141" s="136"/>
      <c r="F141" s="137"/>
      <c r="G141" s="137"/>
      <c r="K141" s="138"/>
      <c r="Q141" s="138"/>
      <c r="Y141" s="138"/>
    </row>
    <row r="142" spans="5:25" s="135" customFormat="1">
      <c r="E142" s="136"/>
      <c r="F142" s="137"/>
      <c r="G142" s="137"/>
      <c r="K142" s="138"/>
      <c r="Q142" s="138"/>
      <c r="Y142" s="138"/>
    </row>
    <row r="143" spans="5:25" s="135" customFormat="1">
      <c r="E143" s="136"/>
      <c r="F143" s="137"/>
      <c r="G143" s="137"/>
      <c r="K143" s="138"/>
      <c r="Q143" s="138"/>
      <c r="Y143" s="138"/>
    </row>
    <row r="144" spans="5:25" s="135" customFormat="1">
      <c r="E144" s="136"/>
      <c r="F144" s="137"/>
      <c r="G144" s="137"/>
      <c r="K144" s="138"/>
      <c r="Q144" s="138"/>
      <c r="Y144" s="138"/>
    </row>
    <row r="145" spans="5:25" s="135" customFormat="1">
      <c r="E145" s="136"/>
      <c r="F145" s="137"/>
      <c r="G145" s="137"/>
      <c r="K145" s="138"/>
      <c r="Q145" s="138"/>
      <c r="Y145" s="138"/>
    </row>
    <row r="146" spans="5:25" s="135" customFormat="1">
      <c r="E146" s="136"/>
      <c r="F146" s="137"/>
      <c r="G146" s="137"/>
      <c r="K146" s="138"/>
      <c r="Q146" s="138"/>
      <c r="Y146" s="138"/>
    </row>
    <row r="147" spans="5:25" s="135" customFormat="1">
      <c r="E147" s="136"/>
      <c r="F147" s="137"/>
      <c r="G147" s="137"/>
      <c r="K147" s="138"/>
      <c r="Q147" s="138"/>
      <c r="Y147" s="138"/>
    </row>
    <row r="148" spans="5:25" s="135" customFormat="1">
      <c r="E148" s="136"/>
      <c r="F148" s="137"/>
      <c r="G148" s="137"/>
      <c r="K148" s="138"/>
      <c r="Q148" s="138"/>
      <c r="Y148" s="138"/>
    </row>
    <row r="149" spans="5:25" s="135" customFormat="1">
      <c r="E149" s="136"/>
      <c r="F149" s="137"/>
      <c r="G149" s="137"/>
      <c r="K149" s="138"/>
      <c r="Q149" s="138"/>
      <c r="Y149" s="138"/>
    </row>
    <row r="150" spans="5:25" s="135" customFormat="1">
      <c r="E150" s="136"/>
      <c r="F150" s="137"/>
      <c r="G150" s="137"/>
      <c r="K150" s="138"/>
      <c r="Q150" s="138"/>
      <c r="Y150" s="138"/>
    </row>
    <row r="151" spans="5:25" s="135" customFormat="1">
      <c r="E151" s="136"/>
      <c r="F151" s="137"/>
      <c r="G151" s="137"/>
      <c r="K151" s="138"/>
      <c r="Q151" s="138"/>
      <c r="Y151" s="138"/>
    </row>
    <row r="152" spans="5:25" s="135" customFormat="1">
      <c r="E152" s="136"/>
      <c r="F152" s="137"/>
      <c r="G152" s="137"/>
      <c r="K152" s="138"/>
      <c r="Q152" s="138"/>
      <c r="Y152" s="138"/>
    </row>
    <row r="153" spans="5:25" s="135" customFormat="1">
      <c r="E153" s="136"/>
      <c r="F153" s="137"/>
      <c r="G153" s="137"/>
      <c r="K153" s="138"/>
      <c r="Q153" s="138"/>
      <c r="Y153" s="138"/>
    </row>
    <row r="154" spans="5:25" s="135" customFormat="1">
      <c r="E154" s="136"/>
      <c r="F154" s="137"/>
      <c r="G154" s="137"/>
      <c r="K154" s="138"/>
      <c r="Q154" s="138"/>
      <c r="Y154" s="138"/>
    </row>
    <row r="155" spans="5:25" s="135" customFormat="1">
      <c r="E155" s="136"/>
      <c r="F155" s="137"/>
      <c r="G155" s="137"/>
      <c r="K155" s="138"/>
      <c r="Q155" s="138"/>
      <c r="Y155" s="138"/>
    </row>
    <row r="156" spans="5:25" s="135" customFormat="1">
      <c r="E156" s="136"/>
      <c r="F156" s="137"/>
      <c r="G156" s="137"/>
      <c r="K156" s="138"/>
      <c r="Q156" s="138"/>
      <c r="Y156" s="138"/>
    </row>
    <row r="157" spans="5:25" s="135" customFormat="1">
      <c r="E157" s="136"/>
      <c r="F157" s="137"/>
      <c r="G157" s="137"/>
      <c r="K157" s="138"/>
      <c r="Q157" s="138"/>
      <c r="Y157" s="138"/>
    </row>
    <row r="158" spans="5:25" s="135" customFormat="1">
      <c r="E158" s="136"/>
      <c r="F158" s="137"/>
      <c r="G158" s="137"/>
      <c r="K158" s="138"/>
      <c r="Q158" s="138"/>
      <c r="Y158" s="138"/>
    </row>
    <row r="159" spans="5:25" s="135" customFormat="1">
      <c r="E159" s="136"/>
      <c r="F159" s="137"/>
      <c r="G159" s="137"/>
      <c r="K159" s="138"/>
      <c r="Q159" s="138"/>
      <c r="Y159" s="138"/>
    </row>
    <row r="160" spans="5:25" s="135" customFormat="1">
      <c r="E160" s="136"/>
      <c r="F160" s="137"/>
      <c r="G160" s="137"/>
      <c r="K160" s="138"/>
      <c r="Q160" s="138"/>
      <c r="Y160" s="138"/>
    </row>
    <row r="161" spans="5:25" s="135" customFormat="1">
      <c r="E161" s="136"/>
      <c r="F161" s="137"/>
      <c r="G161" s="137"/>
      <c r="K161" s="138"/>
      <c r="Q161" s="138"/>
      <c r="Y161" s="138"/>
    </row>
    <row r="162" spans="5:25" s="135" customFormat="1">
      <c r="E162" s="136"/>
      <c r="F162" s="137"/>
      <c r="G162" s="137"/>
      <c r="K162" s="138"/>
      <c r="Q162" s="138"/>
      <c r="Y162" s="138"/>
    </row>
    <row r="163" spans="5:25" s="135" customFormat="1">
      <c r="E163" s="136"/>
      <c r="F163" s="137"/>
      <c r="G163" s="137"/>
      <c r="K163" s="138"/>
      <c r="Q163" s="138"/>
      <c r="Y163" s="138"/>
    </row>
    <row r="164" spans="5:25" s="135" customFormat="1">
      <c r="E164" s="136"/>
      <c r="F164" s="137"/>
      <c r="G164" s="137"/>
      <c r="K164" s="138"/>
      <c r="Q164" s="138"/>
      <c r="Y164" s="138"/>
    </row>
    <row r="165" spans="5:25" s="135" customFormat="1">
      <c r="E165" s="136"/>
      <c r="F165" s="137"/>
      <c r="G165" s="137"/>
      <c r="K165" s="138"/>
      <c r="Q165" s="138"/>
      <c r="Y165" s="138"/>
    </row>
    <row r="166" spans="5:25" s="135" customFormat="1">
      <c r="E166" s="136"/>
      <c r="F166" s="137"/>
      <c r="G166" s="137"/>
      <c r="K166" s="138"/>
      <c r="Q166" s="138"/>
      <c r="Y166" s="138"/>
    </row>
    <row r="167" spans="5:25" s="135" customFormat="1">
      <c r="E167" s="136"/>
      <c r="F167" s="137"/>
      <c r="G167" s="137"/>
      <c r="K167" s="138"/>
      <c r="Q167" s="138"/>
      <c r="Y167" s="138"/>
    </row>
    <row r="168" spans="5:25" s="135" customFormat="1">
      <c r="E168" s="136"/>
      <c r="F168" s="137"/>
      <c r="G168" s="137"/>
      <c r="K168" s="138"/>
      <c r="Q168" s="138"/>
      <c r="Y168" s="138"/>
    </row>
    <row r="169" spans="5:25" s="135" customFormat="1">
      <c r="E169" s="136"/>
      <c r="F169" s="137"/>
      <c r="G169" s="137"/>
      <c r="K169" s="138"/>
      <c r="Q169" s="138"/>
      <c r="Y169" s="138"/>
    </row>
    <row r="170" spans="5:25" s="135" customFormat="1">
      <c r="E170" s="136"/>
      <c r="F170" s="137"/>
      <c r="G170" s="137"/>
      <c r="K170" s="138"/>
      <c r="Q170" s="138"/>
      <c r="Y170" s="138"/>
    </row>
    <row r="171" spans="5:25" s="135" customFormat="1">
      <c r="E171" s="136"/>
      <c r="F171" s="137"/>
      <c r="G171" s="137"/>
      <c r="K171" s="138"/>
      <c r="Q171" s="138"/>
      <c r="Y171" s="138"/>
    </row>
    <row r="172" spans="5:25" s="135" customFormat="1">
      <c r="E172" s="136"/>
      <c r="F172" s="137"/>
      <c r="G172" s="137"/>
      <c r="K172" s="138"/>
      <c r="Q172" s="138"/>
      <c r="Y172" s="138"/>
    </row>
    <row r="173" spans="5:25" s="135" customFormat="1">
      <c r="E173" s="136"/>
      <c r="F173" s="137"/>
      <c r="G173" s="137"/>
      <c r="K173" s="138"/>
      <c r="Q173" s="138"/>
      <c r="Y173" s="138"/>
    </row>
    <row r="174" spans="5:25" s="135" customFormat="1">
      <c r="E174" s="136"/>
      <c r="F174" s="137"/>
      <c r="G174" s="137"/>
      <c r="K174" s="138"/>
      <c r="Q174" s="138"/>
      <c r="Y174" s="138"/>
    </row>
    <row r="175" spans="5:25" s="135" customFormat="1">
      <c r="E175" s="136"/>
      <c r="F175" s="137"/>
      <c r="G175" s="137"/>
      <c r="K175" s="138"/>
      <c r="Q175" s="138"/>
      <c r="Y175" s="138"/>
    </row>
    <row r="176" spans="5:25" s="135" customFormat="1">
      <c r="E176" s="136"/>
      <c r="F176" s="137"/>
      <c r="G176" s="137"/>
      <c r="K176" s="138"/>
      <c r="Q176" s="138"/>
      <c r="Y176" s="138"/>
    </row>
    <row r="177" spans="5:25" s="135" customFormat="1">
      <c r="E177" s="136"/>
      <c r="F177" s="137"/>
      <c r="G177" s="137"/>
      <c r="K177" s="138"/>
      <c r="Q177" s="138"/>
      <c r="Y177" s="138"/>
    </row>
    <row r="178" spans="5:25" s="135" customFormat="1">
      <c r="E178" s="136"/>
      <c r="F178" s="137"/>
      <c r="G178" s="137"/>
      <c r="K178" s="138"/>
      <c r="Q178" s="138"/>
      <c r="Y178" s="138"/>
    </row>
    <row r="179" spans="5:25" s="135" customFormat="1">
      <c r="E179" s="136"/>
      <c r="F179" s="137"/>
      <c r="G179" s="137"/>
      <c r="K179" s="138"/>
      <c r="Q179" s="138"/>
      <c r="Y179" s="138"/>
    </row>
    <row r="180" spans="5:25" s="135" customFormat="1">
      <c r="E180" s="136"/>
      <c r="F180" s="137"/>
      <c r="G180" s="137"/>
      <c r="K180" s="138"/>
      <c r="Q180" s="138"/>
      <c r="Y180" s="138"/>
    </row>
    <row r="181" spans="5:25" s="135" customFormat="1">
      <c r="E181" s="136"/>
      <c r="F181" s="137"/>
      <c r="G181" s="137"/>
      <c r="K181" s="138"/>
      <c r="Q181" s="138"/>
      <c r="Y181" s="138"/>
    </row>
    <row r="182" spans="5:25" s="135" customFormat="1">
      <c r="E182" s="136"/>
      <c r="F182" s="137"/>
      <c r="G182" s="137"/>
      <c r="K182" s="138"/>
      <c r="Q182" s="138"/>
      <c r="Y182" s="138"/>
    </row>
    <row r="183" spans="5:25" s="135" customFormat="1">
      <c r="E183" s="136"/>
      <c r="F183" s="137"/>
      <c r="G183" s="137"/>
      <c r="K183" s="138"/>
      <c r="Q183" s="138"/>
      <c r="Y183" s="138"/>
    </row>
    <row r="184" spans="5:25" s="135" customFormat="1">
      <c r="E184" s="136"/>
      <c r="F184" s="137"/>
      <c r="G184" s="137"/>
      <c r="K184" s="138"/>
      <c r="Q184" s="138"/>
      <c r="Y184" s="138"/>
    </row>
    <row r="185" spans="5:25" s="135" customFormat="1">
      <c r="E185" s="136"/>
      <c r="F185" s="137"/>
      <c r="G185" s="137"/>
      <c r="K185" s="138"/>
      <c r="Q185" s="138"/>
      <c r="Y185" s="138"/>
    </row>
    <row r="186" spans="5:25" s="135" customFormat="1">
      <c r="E186" s="136"/>
      <c r="F186" s="137"/>
      <c r="G186" s="137"/>
      <c r="K186" s="138"/>
      <c r="Q186" s="138"/>
      <c r="Y186" s="138"/>
    </row>
    <row r="187" spans="5:25" s="135" customFormat="1">
      <c r="E187" s="136"/>
      <c r="F187" s="137"/>
      <c r="G187" s="137"/>
      <c r="K187" s="138"/>
      <c r="Q187" s="138"/>
      <c r="Y187" s="138"/>
    </row>
    <row r="188" spans="5:25" s="135" customFormat="1">
      <c r="E188" s="136"/>
      <c r="F188" s="137"/>
      <c r="G188" s="137"/>
      <c r="K188" s="138"/>
      <c r="Q188" s="138"/>
      <c r="Y188" s="138"/>
    </row>
    <row r="189" spans="5:25" s="135" customFormat="1">
      <c r="E189" s="136"/>
      <c r="F189" s="137"/>
      <c r="G189" s="137"/>
      <c r="K189" s="138"/>
      <c r="Q189" s="138"/>
      <c r="Y189" s="138"/>
    </row>
    <row r="190" spans="5:25" s="135" customFormat="1">
      <c r="E190" s="136"/>
      <c r="F190" s="137"/>
      <c r="G190" s="137"/>
      <c r="K190" s="138"/>
      <c r="Q190" s="138"/>
      <c r="Y190" s="138"/>
    </row>
    <row r="191" spans="5:25" s="135" customFormat="1">
      <c r="E191" s="136"/>
      <c r="F191" s="137"/>
      <c r="G191" s="137"/>
      <c r="K191" s="138"/>
      <c r="Q191" s="138"/>
      <c r="Y191" s="138"/>
    </row>
    <row r="192" spans="5:25" s="135" customFormat="1">
      <c r="E192" s="136"/>
      <c r="F192" s="137"/>
      <c r="G192" s="137"/>
      <c r="K192" s="138"/>
      <c r="Q192" s="138"/>
      <c r="Y192" s="138"/>
    </row>
    <row r="193" spans="5:25" s="135" customFormat="1">
      <c r="E193" s="136"/>
      <c r="F193" s="137"/>
      <c r="G193" s="137"/>
      <c r="K193" s="138"/>
      <c r="Q193" s="138"/>
      <c r="Y193" s="138"/>
    </row>
    <row r="194" spans="5:25" s="135" customFormat="1">
      <c r="E194" s="136"/>
      <c r="F194" s="137"/>
      <c r="G194" s="137"/>
      <c r="K194" s="138"/>
      <c r="Q194" s="138"/>
      <c r="Y194" s="138"/>
    </row>
    <row r="195" spans="5:25" s="135" customFormat="1">
      <c r="E195" s="136"/>
      <c r="F195" s="137"/>
      <c r="G195" s="137"/>
      <c r="K195" s="138"/>
      <c r="Q195" s="138"/>
      <c r="Y195" s="138"/>
    </row>
    <row r="196" spans="5:25" s="135" customFormat="1">
      <c r="E196" s="136"/>
      <c r="F196" s="137"/>
      <c r="G196" s="137"/>
      <c r="K196" s="138"/>
      <c r="Q196" s="138"/>
      <c r="Y196" s="138"/>
    </row>
    <row r="197" spans="5:25" s="135" customFormat="1">
      <c r="E197" s="136"/>
      <c r="F197" s="137"/>
      <c r="G197" s="137"/>
      <c r="K197" s="138"/>
      <c r="Q197" s="138"/>
      <c r="Y197" s="138"/>
    </row>
    <row r="198" spans="5:25" s="135" customFormat="1">
      <c r="E198" s="136"/>
      <c r="F198" s="137"/>
      <c r="G198" s="137"/>
      <c r="K198" s="138"/>
      <c r="Q198" s="138"/>
      <c r="Y198" s="138"/>
    </row>
    <row r="199" spans="5:25" s="135" customFormat="1">
      <c r="E199" s="136"/>
      <c r="F199" s="137"/>
      <c r="G199" s="137"/>
      <c r="K199" s="138"/>
      <c r="Q199" s="138"/>
      <c r="Y199" s="138"/>
    </row>
    <row r="200" spans="5:25" s="135" customFormat="1">
      <c r="E200" s="136"/>
      <c r="F200" s="137"/>
      <c r="G200" s="137"/>
      <c r="K200" s="138"/>
      <c r="Q200" s="138"/>
      <c r="Y200" s="138"/>
    </row>
    <row r="201" spans="5:25" s="135" customFormat="1">
      <c r="E201" s="136"/>
      <c r="F201" s="137"/>
      <c r="G201" s="137"/>
      <c r="K201" s="138"/>
      <c r="Q201" s="138"/>
      <c r="Y201" s="138"/>
    </row>
    <row r="202" spans="5:25" s="135" customFormat="1">
      <c r="E202" s="136"/>
      <c r="F202" s="137"/>
      <c r="G202" s="137"/>
      <c r="K202" s="138"/>
      <c r="Q202" s="138"/>
      <c r="Y202" s="138"/>
    </row>
    <row r="203" spans="5:25" s="135" customFormat="1">
      <c r="E203" s="136"/>
      <c r="F203" s="137"/>
      <c r="G203" s="137"/>
      <c r="K203" s="138"/>
      <c r="Q203" s="138"/>
      <c r="Y203" s="138"/>
    </row>
    <row r="204" spans="5:25" s="135" customFormat="1">
      <c r="E204" s="136"/>
      <c r="F204" s="137"/>
      <c r="G204" s="137"/>
      <c r="K204" s="138"/>
      <c r="Q204" s="138"/>
      <c r="Y204" s="138"/>
    </row>
    <row r="205" spans="5:25" s="135" customFormat="1">
      <c r="E205" s="136"/>
      <c r="F205" s="137"/>
      <c r="G205" s="137"/>
      <c r="K205" s="138"/>
      <c r="Q205" s="138"/>
      <c r="Y205" s="138"/>
    </row>
    <row r="206" spans="5:25" s="135" customFormat="1">
      <c r="E206" s="136"/>
      <c r="F206" s="137"/>
      <c r="G206" s="137"/>
      <c r="K206" s="138"/>
      <c r="Q206" s="138"/>
      <c r="Y206" s="138"/>
    </row>
    <row r="207" spans="5:25" s="135" customFormat="1">
      <c r="E207" s="136"/>
      <c r="F207" s="137"/>
      <c r="G207" s="137"/>
      <c r="K207" s="138"/>
      <c r="Q207" s="138"/>
      <c r="Y207" s="138"/>
    </row>
    <row r="208" spans="5:25" s="135" customFormat="1">
      <c r="E208" s="136"/>
      <c r="F208" s="137"/>
      <c r="G208" s="137"/>
      <c r="K208" s="138"/>
      <c r="Q208" s="138"/>
      <c r="Y208" s="138"/>
    </row>
    <row r="209" spans="5:25" s="135" customFormat="1">
      <c r="E209" s="136"/>
      <c r="F209" s="137"/>
      <c r="G209" s="137"/>
      <c r="K209" s="138"/>
      <c r="Q209" s="138"/>
      <c r="Y209" s="138"/>
    </row>
    <row r="210" spans="5:25" s="135" customFormat="1">
      <c r="E210" s="136"/>
      <c r="F210" s="137"/>
      <c r="G210" s="137"/>
      <c r="K210" s="138"/>
      <c r="Q210" s="138"/>
      <c r="Y210" s="138"/>
    </row>
    <row r="211" spans="5:25" s="135" customFormat="1">
      <c r="E211" s="136"/>
      <c r="F211" s="137"/>
      <c r="G211" s="137"/>
      <c r="K211" s="138"/>
      <c r="Q211" s="138"/>
      <c r="Y211" s="138"/>
    </row>
    <row r="212" spans="5:25" s="135" customFormat="1">
      <c r="E212" s="136"/>
      <c r="F212" s="137"/>
      <c r="G212" s="137"/>
      <c r="K212" s="138"/>
      <c r="Q212" s="138"/>
      <c r="Y212" s="138"/>
    </row>
    <row r="213" spans="5:25" s="135" customFormat="1">
      <c r="E213" s="136"/>
      <c r="F213" s="137"/>
      <c r="G213" s="137"/>
      <c r="K213" s="138"/>
      <c r="Q213" s="138"/>
      <c r="Y213" s="138"/>
    </row>
    <row r="214" spans="5:25" s="135" customFormat="1">
      <c r="E214" s="136"/>
      <c r="F214" s="137"/>
      <c r="G214" s="137"/>
      <c r="K214" s="138"/>
      <c r="Q214" s="138"/>
      <c r="Y214" s="138"/>
    </row>
    <row r="215" spans="5:25" s="135" customFormat="1">
      <c r="E215" s="136"/>
      <c r="F215" s="137"/>
      <c r="G215" s="137"/>
      <c r="K215" s="138"/>
      <c r="Q215" s="138"/>
      <c r="Y215" s="138"/>
    </row>
    <row r="216" spans="5:25" s="135" customFormat="1">
      <c r="E216" s="136"/>
      <c r="F216" s="137"/>
      <c r="G216" s="137"/>
      <c r="K216" s="138"/>
      <c r="Q216" s="138"/>
      <c r="Y216" s="138"/>
    </row>
    <row r="217" spans="5:25" s="135" customFormat="1">
      <c r="E217" s="136"/>
      <c r="F217" s="137"/>
      <c r="G217" s="137"/>
      <c r="K217" s="138"/>
      <c r="Q217" s="138"/>
      <c r="Y217" s="138"/>
    </row>
    <row r="218" spans="5:25" s="135" customFormat="1">
      <c r="E218" s="136"/>
      <c r="F218" s="137"/>
      <c r="G218" s="137"/>
      <c r="K218" s="138"/>
      <c r="Q218" s="138"/>
      <c r="Y218" s="138"/>
    </row>
    <row r="219" spans="5:25" s="135" customFormat="1">
      <c r="E219" s="136"/>
      <c r="F219" s="137"/>
      <c r="G219" s="137"/>
      <c r="K219" s="138"/>
      <c r="Q219" s="138"/>
      <c r="Y219" s="138"/>
    </row>
    <row r="220" spans="5:25" s="135" customFormat="1">
      <c r="E220" s="136"/>
      <c r="F220" s="137"/>
      <c r="G220" s="137"/>
      <c r="K220" s="138"/>
      <c r="Q220" s="138"/>
      <c r="Y220" s="138"/>
    </row>
    <row r="221" spans="5:25" s="135" customFormat="1">
      <c r="E221" s="136"/>
      <c r="F221" s="137"/>
      <c r="G221" s="137"/>
      <c r="K221" s="138"/>
      <c r="Q221" s="138"/>
      <c r="Y221" s="138"/>
    </row>
    <row r="222" spans="5:25" s="135" customFormat="1">
      <c r="E222" s="136"/>
      <c r="F222" s="137"/>
      <c r="G222" s="137"/>
      <c r="K222" s="138"/>
      <c r="Q222" s="138"/>
      <c r="Y222" s="138"/>
    </row>
    <row r="223" spans="5:25" s="135" customFormat="1">
      <c r="E223" s="136"/>
      <c r="F223" s="137"/>
      <c r="G223" s="137"/>
      <c r="K223" s="138"/>
      <c r="Q223" s="138"/>
      <c r="Y223" s="138"/>
    </row>
    <row r="224" spans="5:25" s="135" customFormat="1">
      <c r="E224" s="136"/>
      <c r="F224" s="137"/>
      <c r="G224" s="137"/>
      <c r="K224" s="138"/>
      <c r="Q224" s="138"/>
      <c r="Y224" s="138"/>
    </row>
    <row r="225" spans="5:25" s="135" customFormat="1">
      <c r="E225" s="136"/>
      <c r="F225" s="137"/>
      <c r="G225" s="137"/>
      <c r="K225" s="138"/>
      <c r="Q225" s="138"/>
      <c r="Y225" s="138"/>
    </row>
    <row r="226" spans="5:25" s="135" customFormat="1">
      <c r="E226" s="136"/>
      <c r="F226" s="137"/>
      <c r="G226" s="137"/>
      <c r="K226" s="138"/>
      <c r="Q226" s="138"/>
      <c r="Y226" s="138"/>
    </row>
    <row r="227" spans="5:25" s="135" customFormat="1">
      <c r="E227" s="136"/>
      <c r="F227" s="137"/>
      <c r="G227" s="137"/>
      <c r="K227" s="138"/>
      <c r="Q227" s="138"/>
      <c r="Y227" s="138"/>
    </row>
    <row r="228" spans="5:25" s="135" customFormat="1">
      <c r="E228" s="136"/>
      <c r="F228" s="137"/>
      <c r="G228" s="137"/>
      <c r="K228" s="138"/>
      <c r="Q228" s="138"/>
      <c r="Y228" s="138"/>
    </row>
    <row r="229" spans="5:25" s="135" customFormat="1">
      <c r="E229" s="136"/>
      <c r="F229" s="137"/>
      <c r="G229" s="137"/>
      <c r="K229" s="138"/>
      <c r="Q229" s="138"/>
      <c r="Y229" s="138"/>
    </row>
    <row r="230" spans="5:25" s="135" customFormat="1">
      <c r="E230" s="136"/>
      <c r="F230" s="137"/>
      <c r="G230" s="137"/>
      <c r="K230" s="138"/>
      <c r="Q230" s="138"/>
      <c r="Y230" s="138"/>
    </row>
    <row r="231" spans="5:25" s="135" customFormat="1">
      <c r="E231" s="136"/>
      <c r="F231" s="137"/>
      <c r="G231" s="137"/>
      <c r="K231" s="138"/>
      <c r="Q231" s="138"/>
      <c r="Y231" s="138"/>
    </row>
    <row r="232" spans="5:25" s="135" customFormat="1">
      <c r="E232" s="136"/>
      <c r="F232" s="137"/>
      <c r="G232" s="137"/>
      <c r="K232" s="138"/>
      <c r="Q232" s="138"/>
      <c r="Y232" s="138"/>
    </row>
    <row r="233" spans="5:25" s="135" customFormat="1">
      <c r="E233" s="136"/>
      <c r="F233" s="137"/>
      <c r="G233" s="137"/>
      <c r="K233" s="138"/>
      <c r="Q233" s="138"/>
      <c r="Y233" s="138"/>
    </row>
    <row r="234" spans="5:25" s="135" customFormat="1">
      <c r="E234" s="136"/>
      <c r="F234" s="137"/>
      <c r="G234" s="137"/>
      <c r="K234" s="138"/>
      <c r="Q234" s="138"/>
      <c r="Y234" s="138"/>
    </row>
    <row r="235" spans="5:25" s="135" customFormat="1">
      <c r="E235" s="136"/>
      <c r="F235" s="137"/>
      <c r="G235" s="137"/>
      <c r="K235" s="138"/>
      <c r="Q235" s="138"/>
      <c r="Y235" s="138"/>
    </row>
    <row r="236" spans="5:25" s="135" customFormat="1">
      <c r="E236" s="136"/>
      <c r="F236" s="137"/>
      <c r="G236" s="137"/>
      <c r="K236" s="138"/>
      <c r="Q236" s="138"/>
      <c r="Y236" s="138"/>
    </row>
    <row r="237" spans="5:25" s="135" customFormat="1">
      <c r="E237" s="136"/>
      <c r="F237" s="137"/>
      <c r="G237" s="137"/>
      <c r="K237" s="138"/>
      <c r="Q237" s="138"/>
      <c r="Y237" s="138"/>
    </row>
    <row r="238" spans="5:25" s="135" customFormat="1">
      <c r="E238" s="136"/>
      <c r="F238" s="137"/>
      <c r="G238" s="137"/>
      <c r="K238" s="138"/>
      <c r="Q238" s="138"/>
      <c r="Y238" s="138"/>
    </row>
    <row r="239" spans="5:25" s="135" customFormat="1">
      <c r="E239" s="136"/>
      <c r="F239" s="137"/>
      <c r="G239" s="137"/>
      <c r="K239" s="138"/>
      <c r="Q239" s="138"/>
      <c r="Y239" s="138"/>
    </row>
    <row r="240" spans="5:25" s="135" customFormat="1">
      <c r="E240" s="136"/>
      <c r="F240" s="137"/>
      <c r="G240" s="137"/>
      <c r="K240" s="138"/>
      <c r="Q240" s="138"/>
      <c r="Y240" s="138"/>
    </row>
    <row r="241" spans="5:25" s="135" customFormat="1">
      <c r="E241" s="136"/>
      <c r="F241" s="137"/>
      <c r="G241" s="137"/>
      <c r="K241" s="138"/>
      <c r="Q241" s="138"/>
      <c r="Y241" s="138"/>
    </row>
    <row r="242" spans="5:25" s="135" customFormat="1">
      <c r="E242" s="136"/>
      <c r="F242" s="137"/>
      <c r="G242" s="137"/>
      <c r="K242" s="138"/>
      <c r="Q242" s="138"/>
      <c r="Y242" s="138"/>
    </row>
    <row r="243" spans="5:25" s="135" customFormat="1">
      <c r="E243" s="136"/>
      <c r="F243" s="137"/>
      <c r="G243" s="137"/>
      <c r="K243" s="138"/>
      <c r="Q243" s="138"/>
      <c r="Y243" s="138"/>
    </row>
    <row r="244" spans="5:25" s="135" customFormat="1">
      <c r="E244" s="136"/>
      <c r="F244" s="137"/>
      <c r="G244" s="137"/>
      <c r="K244" s="138"/>
      <c r="Q244" s="138"/>
      <c r="Y244" s="138"/>
    </row>
    <row r="245" spans="5:25" s="135" customFormat="1">
      <c r="E245" s="136"/>
      <c r="F245" s="137"/>
      <c r="G245" s="137"/>
      <c r="K245" s="138"/>
      <c r="Q245" s="138"/>
      <c r="Y245" s="138"/>
    </row>
    <row r="246" spans="5:25" s="135" customFormat="1">
      <c r="E246" s="136"/>
      <c r="F246" s="137"/>
      <c r="G246" s="137"/>
      <c r="K246" s="138"/>
      <c r="Q246" s="138"/>
      <c r="Y246" s="138"/>
    </row>
    <row r="247" spans="5:25" s="135" customFormat="1">
      <c r="E247" s="136"/>
      <c r="F247" s="137"/>
      <c r="G247" s="137"/>
      <c r="K247" s="138"/>
      <c r="Q247" s="138"/>
      <c r="Y247" s="138"/>
    </row>
    <row r="248" spans="5:25" s="135" customFormat="1">
      <c r="E248" s="136"/>
      <c r="F248" s="137"/>
      <c r="G248" s="137"/>
      <c r="K248" s="138"/>
      <c r="Q248" s="138"/>
      <c r="Y248" s="138"/>
    </row>
    <row r="249" spans="5:25" s="135" customFormat="1">
      <c r="E249" s="136"/>
      <c r="F249" s="137"/>
      <c r="G249" s="137"/>
      <c r="K249" s="138"/>
      <c r="Q249" s="138"/>
      <c r="Y249" s="138"/>
    </row>
    <row r="250" spans="5:25" s="135" customFormat="1">
      <c r="E250" s="136"/>
      <c r="F250" s="137"/>
      <c r="G250" s="137"/>
      <c r="K250" s="138"/>
      <c r="Q250" s="138"/>
      <c r="Y250" s="138"/>
    </row>
    <row r="251" spans="5:25" s="135" customFormat="1">
      <c r="E251" s="136"/>
      <c r="F251" s="137"/>
      <c r="G251" s="137"/>
      <c r="K251" s="138"/>
      <c r="Q251" s="138"/>
      <c r="Y251" s="138"/>
    </row>
    <row r="252" spans="5:25" s="135" customFormat="1">
      <c r="E252" s="136"/>
      <c r="F252" s="137"/>
      <c r="G252" s="137"/>
      <c r="K252" s="138"/>
      <c r="Q252" s="138"/>
      <c r="Y252" s="138"/>
    </row>
    <row r="253" spans="5:25" s="135" customFormat="1">
      <c r="E253" s="136"/>
      <c r="F253" s="137"/>
      <c r="G253" s="137"/>
      <c r="K253" s="138"/>
      <c r="Q253" s="138"/>
      <c r="Y253" s="138"/>
    </row>
    <row r="254" spans="5:25" s="135" customFormat="1">
      <c r="E254" s="136"/>
      <c r="F254" s="137"/>
      <c r="G254" s="137"/>
      <c r="K254" s="138"/>
      <c r="Q254" s="138"/>
      <c r="Y254" s="138"/>
    </row>
    <row r="255" spans="5:25" s="135" customFormat="1">
      <c r="E255" s="136"/>
      <c r="F255" s="137"/>
      <c r="G255" s="137"/>
      <c r="K255" s="138"/>
      <c r="Q255" s="138"/>
      <c r="Y255" s="138"/>
    </row>
    <row r="256" spans="5:25" s="135" customFormat="1">
      <c r="E256" s="136"/>
      <c r="F256" s="137"/>
      <c r="G256" s="137"/>
      <c r="K256" s="138"/>
      <c r="Q256" s="138"/>
      <c r="Y256" s="138"/>
    </row>
    <row r="257" spans="5:25" s="135" customFormat="1">
      <c r="E257" s="136"/>
      <c r="F257" s="137"/>
      <c r="G257" s="137"/>
      <c r="K257" s="138"/>
      <c r="Q257" s="138"/>
      <c r="Y257" s="138"/>
    </row>
    <row r="258" spans="5:25" s="135" customFormat="1">
      <c r="E258" s="136"/>
      <c r="F258" s="137"/>
      <c r="G258" s="137"/>
      <c r="K258" s="138"/>
      <c r="Q258" s="138"/>
      <c r="Y258" s="138"/>
    </row>
    <row r="259" spans="5:25" s="135" customFormat="1">
      <c r="E259" s="136"/>
      <c r="F259" s="137"/>
      <c r="G259" s="137"/>
      <c r="K259" s="138"/>
      <c r="Q259" s="138"/>
      <c r="Y259" s="138"/>
    </row>
    <row r="260" spans="5:25" s="135" customFormat="1">
      <c r="E260" s="136"/>
      <c r="F260" s="137"/>
      <c r="G260" s="137"/>
      <c r="K260" s="138"/>
      <c r="Q260" s="138"/>
      <c r="Y260" s="138"/>
    </row>
    <row r="261" spans="5:25" s="135" customFormat="1">
      <c r="E261" s="136"/>
      <c r="F261" s="137"/>
      <c r="G261" s="137"/>
      <c r="K261" s="138"/>
      <c r="Q261" s="138"/>
      <c r="Y261" s="138"/>
    </row>
    <row r="262" spans="5:25" s="135" customFormat="1">
      <c r="E262" s="136"/>
      <c r="F262" s="137"/>
      <c r="G262" s="137"/>
      <c r="K262" s="138"/>
      <c r="Q262" s="138"/>
      <c r="Y262" s="138"/>
    </row>
    <row r="263" spans="5:25" s="135" customFormat="1">
      <c r="E263" s="136"/>
      <c r="F263" s="137"/>
      <c r="G263" s="137"/>
      <c r="K263" s="138"/>
      <c r="Q263" s="138"/>
      <c r="Y263" s="138"/>
    </row>
    <row r="264" spans="5:25" s="135" customFormat="1">
      <c r="E264" s="136"/>
      <c r="F264" s="137"/>
      <c r="G264" s="137"/>
      <c r="K264" s="138"/>
      <c r="Q264" s="138"/>
      <c r="Y264" s="138"/>
    </row>
    <row r="265" spans="5:25" s="135" customFormat="1">
      <c r="E265" s="136"/>
      <c r="F265" s="137"/>
      <c r="G265" s="137"/>
      <c r="K265" s="138"/>
      <c r="Q265" s="138"/>
      <c r="Y265" s="138"/>
    </row>
    <row r="266" spans="5:25" s="135" customFormat="1">
      <c r="E266" s="136"/>
      <c r="F266" s="137"/>
      <c r="G266" s="137"/>
      <c r="K266" s="138"/>
      <c r="Q266" s="138"/>
      <c r="Y266" s="138"/>
    </row>
    <row r="267" spans="5:25" s="135" customFormat="1">
      <c r="E267" s="136"/>
      <c r="F267" s="137"/>
      <c r="G267" s="137"/>
      <c r="K267" s="138"/>
      <c r="Q267" s="138"/>
      <c r="Y267" s="138"/>
    </row>
    <row r="268" spans="5:25" s="135" customFormat="1">
      <c r="E268" s="136"/>
      <c r="F268" s="137"/>
      <c r="G268" s="137"/>
      <c r="K268" s="138"/>
      <c r="Q268" s="138"/>
      <c r="Y268" s="138"/>
    </row>
    <row r="269" spans="5:25" s="135" customFormat="1">
      <c r="E269" s="136"/>
      <c r="F269" s="137"/>
      <c r="G269" s="137"/>
      <c r="K269" s="138"/>
      <c r="Q269" s="138"/>
      <c r="Y269" s="138"/>
    </row>
    <row r="270" spans="5:25" s="135" customFormat="1">
      <c r="E270" s="136"/>
      <c r="F270" s="137"/>
      <c r="G270" s="137"/>
      <c r="K270" s="138"/>
      <c r="Q270" s="138"/>
      <c r="Y270" s="138"/>
    </row>
    <row r="271" spans="5:25" s="135" customFormat="1">
      <c r="E271" s="136"/>
      <c r="F271" s="137"/>
      <c r="G271" s="137"/>
      <c r="K271" s="138"/>
      <c r="Q271" s="138"/>
      <c r="Y271" s="138"/>
    </row>
    <row r="272" spans="5:25" s="135" customFormat="1">
      <c r="E272" s="136"/>
      <c r="F272" s="137"/>
      <c r="G272" s="137"/>
      <c r="K272" s="138"/>
      <c r="Q272" s="138"/>
      <c r="Y272" s="138"/>
    </row>
    <row r="273" spans="5:25" s="135" customFormat="1">
      <c r="E273" s="136"/>
      <c r="F273" s="137"/>
      <c r="G273" s="137"/>
      <c r="K273" s="138"/>
      <c r="Q273" s="138"/>
      <c r="Y273" s="138"/>
    </row>
    <row r="274" spans="5:25" s="135" customFormat="1">
      <c r="E274" s="136"/>
      <c r="F274" s="137"/>
      <c r="G274" s="137"/>
      <c r="K274" s="138"/>
      <c r="Q274" s="138"/>
      <c r="Y274" s="138"/>
    </row>
    <row r="275" spans="5:25" s="135" customFormat="1">
      <c r="E275" s="136"/>
      <c r="F275" s="137"/>
      <c r="G275" s="137"/>
      <c r="K275" s="138"/>
      <c r="Q275" s="138"/>
      <c r="Y275" s="138"/>
    </row>
    <row r="276" spans="5:25" s="135" customFormat="1">
      <c r="E276" s="136"/>
      <c r="F276" s="137"/>
      <c r="G276" s="137"/>
      <c r="K276" s="138"/>
      <c r="Q276" s="138"/>
      <c r="Y276" s="138"/>
    </row>
    <row r="277" spans="5:25" s="135" customFormat="1">
      <c r="E277" s="136"/>
      <c r="F277" s="137"/>
      <c r="G277" s="137"/>
      <c r="K277" s="138"/>
      <c r="Q277" s="138"/>
      <c r="Y277" s="138"/>
    </row>
    <row r="278" spans="5:25" s="135" customFormat="1">
      <c r="E278" s="136"/>
      <c r="F278" s="137"/>
      <c r="G278" s="137"/>
      <c r="K278" s="138"/>
      <c r="Q278" s="138"/>
      <c r="Y278" s="138"/>
    </row>
    <row r="279" spans="5:25" s="135" customFormat="1">
      <c r="E279" s="136"/>
      <c r="F279" s="137"/>
      <c r="G279" s="137"/>
      <c r="K279" s="138"/>
      <c r="Q279" s="138"/>
      <c r="Y279" s="138"/>
    </row>
    <row r="280" spans="5:25" s="135" customFormat="1">
      <c r="E280" s="136"/>
      <c r="F280" s="137"/>
      <c r="G280" s="137"/>
      <c r="K280" s="138"/>
      <c r="Q280" s="138"/>
      <c r="Y280" s="138"/>
    </row>
    <row r="281" spans="5:25" s="135" customFormat="1">
      <c r="E281" s="136"/>
      <c r="F281" s="137"/>
      <c r="G281" s="137"/>
      <c r="K281" s="138"/>
      <c r="Q281" s="138"/>
      <c r="Y281" s="138"/>
    </row>
    <row r="282" spans="5:25" s="135" customFormat="1">
      <c r="E282" s="136"/>
      <c r="F282" s="137"/>
      <c r="G282" s="137"/>
      <c r="K282" s="138"/>
      <c r="Q282" s="138"/>
      <c r="Y282" s="138"/>
    </row>
    <row r="283" spans="5:25" s="135" customFormat="1">
      <c r="E283" s="136"/>
      <c r="F283" s="137"/>
      <c r="G283" s="137"/>
      <c r="K283" s="138"/>
      <c r="Q283" s="138"/>
      <c r="Y283" s="138"/>
    </row>
    <row r="284" spans="5:25" s="135" customFormat="1">
      <c r="E284" s="136"/>
      <c r="F284" s="137"/>
      <c r="G284" s="137"/>
      <c r="K284" s="138"/>
      <c r="Q284" s="138"/>
      <c r="Y284" s="138"/>
    </row>
    <row r="285" spans="5:25" s="135" customFormat="1">
      <c r="E285" s="136"/>
      <c r="F285" s="137"/>
      <c r="G285" s="137"/>
      <c r="K285" s="138"/>
      <c r="Q285" s="138"/>
      <c r="Y285" s="138"/>
    </row>
    <row r="286" spans="5:25" s="135" customFormat="1">
      <c r="E286" s="136"/>
      <c r="F286" s="137"/>
      <c r="G286" s="137"/>
      <c r="K286" s="138"/>
      <c r="Q286" s="138"/>
      <c r="Y286" s="138"/>
    </row>
    <row r="287" spans="5:25" s="135" customFormat="1">
      <c r="E287" s="136"/>
      <c r="F287" s="137"/>
      <c r="G287" s="137"/>
      <c r="K287" s="138"/>
      <c r="Q287" s="138"/>
      <c r="Y287" s="138"/>
    </row>
    <row r="288" spans="5:25" s="135" customFormat="1">
      <c r="E288" s="136"/>
      <c r="F288" s="137"/>
      <c r="G288" s="137"/>
      <c r="K288" s="138"/>
      <c r="Q288" s="138"/>
      <c r="Y288" s="138"/>
    </row>
  </sheetData>
  <mergeCells count="1">
    <mergeCell ref="A21:D2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B6ABC-62B0-4C1E-835B-DB7305F4D5C3}">
  <sheetPr>
    <tabColor theme="3" tint="0.499984740745262"/>
  </sheetPr>
  <dimension ref="A1:AX415"/>
  <sheetViews>
    <sheetView topLeftCell="T1" zoomScale="70" zoomScaleNormal="70" workbookViewId="0">
      <selection activeCell="G28" sqref="G28"/>
    </sheetView>
  </sheetViews>
  <sheetFormatPr baseColWidth="10" defaultColWidth="9.265625" defaultRowHeight="14.25"/>
  <cols>
    <col min="1" max="1" width="9.86328125" style="79" customWidth="1"/>
    <col min="2" max="2" width="18" style="79" customWidth="1"/>
    <col min="3" max="3" width="18.59765625" style="79" customWidth="1"/>
    <col min="4" max="4" width="16.3984375" style="79" customWidth="1"/>
    <col min="5" max="5" width="18.265625" style="85" customWidth="1"/>
    <col min="6" max="6" width="22.1328125" style="86" customWidth="1"/>
    <col min="7" max="7" width="15.86328125" style="86" customWidth="1"/>
    <col min="8" max="10" width="12.3984375" style="79" customWidth="1"/>
    <col min="11" max="11" width="12.3984375" style="87" customWidth="1"/>
    <col min="12" max="16" width="12.3984375" style="79" customWidth="1"/>
    <col min="17" max="17" width="13.265625" style="87" customWidth="1"/>
    <col min="18" max="24" width="12.3984375" style="79" customWidth="1"/>
    <col min="25" max="25" width="12.3984375" style="87" customWidth="1"/>
    <col min="26" max="44" width="9.265625" style="135"/>
    <col min="45" max="16384" width="9.265625" style="79"/>
  </cols>
  <sheetData>
    <row r="1" spans="1:44" s="73" customFormat="1" ht="36.6" customHeight="1">
      <c r="A1" s="70" t="s">
        <v>176</v>
      </c>
      <c r="B1" s="71" t="s">
        <v>179</v>
      </c>
      <c r="C1" s="71" t="s">
        <v>187</v>
      </c>
      <c r="D1" s="71" t="s">
        <v>74</v>
      </c>
      <c r="E1" s="71" t="s">
        <v>188</v>
      </c>
      <c r="F1" s="71" t="s">
        <v>189</v>
      </c>
      <c r="G1" s="71" t="s">
        <v>52</v>
      </c>
      <c r="H1" s="72" t="s">
        <v>212</v>
      </c>
      <c r="I1" s="72" t="s">
        <v>213</v>
      </c>
      <c r="J1" s="72" t="s">
        <v>214</v>
      </c>
      <c r="K1" s="72" t="s">
        <v>215</v>
      </c>
      <c r="L1" s="72" t="s">
        <v>216</v>
      </c>
      <c r="M1" s="72" t="s">
        <v>217</v>
      </c>
      <c r="N1" s="72" t="s">
        <v>218</v>
      </c>
      <c r="O1" s="72" t="s">
        <v>219</v>
      </c>
      <c r="P1" s="72" t="s">
        <v>220</v>
      </c>
      <c r="Q1" s="72" t="s">
        <v>221</v>
      </c>
      <c r="R1" s="72" t="s">
        <v>222</v>
      </c>
      <c r="S1" s="72" t="s">
        <v>223</v>
      </c>
      <c r="T1" s="72" t="s">
        <v>224</v>
      </c>
      <c r="U1" s="72" t="s">
        <v>225</v>
      </c>
      <c r="V1" s="72" t="s">
        <v>226</v>
      </c>
      <c r="W1" s="72" t="s">
        <v>227</v>
      </c>
      <c r="X1" s="72" t="s">
        <v>228</v>
      </c>
      <c r="Y1" s="72" t="s">
        <v>229</v>
      </c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</row>
    <row r="2" spans="1:44">
      <c r="A2" s="74" t="s">
        <v>230</v>
      </c>
      <c r="B2" s="75" t="s">
        <v>231</v>
      </c>
      <c r="C2" s="75" t="s">
        <v>230</v>
      </c>
      <c r="D2" s="75" t="s">
        <v>27</v>
      </c>
      <c r="E2" s="76">
        <v>79316865070</v>
      </c>
      <c r="F2" s="77">
        <v>4</v>
      </c>
      <c r="G2" s="94">
        <v>2036</v>
      </c>
      <c r="H2" s="94">
        <v>50</v>
      </c>
      <c r="I2" s="94">
        <v>100</v>
      </c>
      <c r="J2" s="94">
        <v>150</v>
      </c>
      <c r="K2" s="94">
        <v>200</v>
      </c>
      <c r="L2" s="94">
        <v>270</v>
      </c>
      <c r="M2" s="94">
        <v>320</v>
      </c>
      <c r="N2" s="94">
        <v>350</v>
      </c>
      <c r="O2" s="94">
        <v>370</v>
      </c>
      <c r="P2" s="94">
        <v>380</v>
      </c>
      <c r="Q2" s="94">
        <v>400</v>
      </c>
      <c r="R2" s="94">
        <v>900</v>
      </c>
      <c r="S2" s="94">
        <v>1100</v>
      </c>
      <c r="T2" s="94">
        <v>1450</v>
      </c>
      <c r="U2" s="94">
        <v>1650</v>
      </c>
      <c r="V2" s="94">
        <v>1700</v>
      </c>
      <c r="W2" s="94">
        <v>1800</v>
      </c>
      <c r="X2" s="94">
        <v>1900</v>
      </c>
      <c r="Y2" s="94">
        <v>2036</v>
      </c>
    </row>
    <row r="3" spans="1:44" ht="26.25">
      <c r="A3" s="74" t="s">
        <v>232</v>
      </c>
      <c r="B3" s="75" t="s">
        <v>231</v>
      </c>
      <c r="C3" s="75" t="s">
        <v>232</v>
      </c>
      <c r="D3" s="75" t="s">
        <v>18</v>
      </c>
      <c r="E3" s="76">
        <v>83008042889</v>
      </c>
      <c r="F3" s="77">
        <v>3</v>
      </c>
      <c r="G3" s="94">
        <v>2295</v>
      </c>
      <c r="H3" s="94">
        <v>20</v>
      </c>
      <c r="I3" s="94">
        <f>+H3+25</f>
        <v>45</v>
      </c>
      <c r="J3" s="94">
        <f>+I3+70</f>
        <v>115</v>
      </c>
      <c r="K3" s="94">
        <v>200</v>
      </c>
      <c r="L3" s="94">
        <v>230</v>
      </c>
      <c r="M3" s="94">
        <f>+L3+10</f>
        <v>240</v>
      </c>
      <c r="N3" s="94">
        <f>+M3+50</f>
        <v>290</v>
      </c>
      <c r="O3" s="94">
        <f>+N3+60</f>
        <v>350</v>
      </c>
      <c r="P3" s="94">
        <f>+O3+20</f>
        <v>370</v>
      </c>
      <c r="Q3" s="94">
        <v>400</v>
      </c>
      <c r="R3" s="94">
        <v>425</v>
      </c>
      <c r="S3" s="94">
        <f>+R3+100</f>
        <v>525</v>
      </c>
      <c r="T3" s="94">
        <f>+S3+250</f>
        <v>775</v>
      </c>
      <c r="U3" s="94">
        <f>+T3+250</f>
        <v>1025</v>
      </c>
      <c r="V3" s="94">
        <f>+U3+250</f>
        <v>1275</v>
      </c>
      <c r="W3" s="94">
        <f>+V3+600</f>
        <v>1875</v>
      </c>
      <c r="X3" s="94">
        <f>+W3+100</f>
        <v>1975</v>
      </c>
      <c r="Y3" s="94">
        <v>2295</v>
      </c>
    </row>
    <row r="4" spans="1:44" ht="26.25">
      <c r="A4" s="74" t="s">
        <v>233</v>
      </c>
      <c r="B4" s="75" t="s">
        <v>116</v>
      </c>
      <c r="C4" s="75" t="s">
        <v>195</v>
      </c>
      <c r="D4" s="75" t="s">
        <v>27</v>
      </c>
      <c r="E4" s="76">
        <v>322709746890</v>
      </c>
      <c r="F4" s="77">
        <v>11.73</v>
      </c>
      <c r="G4" s="94">
        <v>10664</v>
      </c>
      <c r="H4" s="94">
        <v>0</v>
      </c>
      <c r="I4" s="94">
        <v>0</v>
      </c>
      <c r="J4" s="94">
        <v>80</v>
      </c>
      <c r="K4" s="94">
        <v>240</v>
      </c>
      <c r="L4" s="94">
        <v>400</v>
      </c>
      <c r="M4" s="94">
        <v>480</v>
      </c>
      <c r="N4" s="94">
        <v>560</v>
      </c>
      <c r="O4" s="94">
        <v>640</v>
      </c>
      <c r="P4" s="94">
        <v>720</v>
      </c>
      <c r="Q4" s="94">
        <v>800</v>
      </c>
      <c r="R4" s="94">
        <v>1050</v>
      </c>
      <c r="S4" s="94">
        <v>1550</v>
      </c>
      <c r="T4" s="94">
        <v>2350</v>
      </c>
      <c r="U4" s="94">
        <v>3350</v>
      </c>
      <c r="V4" s="94">
        <v>4600</v>
      </c>
      <c r="W4" s="94">
        <v>6100</v>
      </c>
      <c r="X4" s="94">
        <v>8100</v>
      </c>
      <c r="Y4" s="94">
        <v>10664</v>
      </c>
    </row>
    <row r="5" spans="1:44" ht="39.4">
      <c r="A5" s="74" t="s">
        <v>234</v>
      </c>
      <c r="B5" s="75" t="s">
        <v>115</v>
      </c>
      <c r="C5" s="75" t="s">
        <v>197</v>
      </c>
      <c r="D5" s="75" t="s">
        <v>22</v>
      </c>
      <c r="E5" s="76">
        <v>121589085878</v>
      </c>
      <c r="F5" s="77">
        <v>4.16</v>
      </c>
      <c r="G5" s="94">
        <v>3783</v>
      </c>
      <c r="H5" s="94">
        <v>0</v>
      </c>
      <c r="I5" s="94">
        <v>0</v>
      </c>
      <c r="J5" s="94">
        <v>0</v>
      </c>
      <c r="K5" s="94">
        <v>0</v>
      </c>
      <c r="L5" s="94">
        <v>0</v>
      </c>
      <c r="M5" s="94">
        <v>0</v>
      </c>
      <c r="N5" s="94">
        <v>0</v>
      </c>
      <c r="O5" s="94">
        <v>150</v>
      </c>
      <c r="P5" s="94">
        <v>160</v>
      </c>
      <c r="Q5" s="94">
        <v>160</v>
      </c>
      <c r="R5" s="94">
        <v>160</v>
      </c>
      <c r="S5" s="94">
        <v>160</v>
      </c>
      <c r="T5" s="94">
        <v>410</v>
      </c>
      <c r="U5" s="94">
        <v>660</v>
      </c>
      <c r="V5" s="94">
        <v>910</v>
      </c>
      <c r="W5" s="94">
        <v>1510</v>
      </c>
      <c r="X5" s="94">
        <v>1610</v>
      </c>
      <c r="Y5" s="94">
        <v>3783</v>
      </c>
    </row>
    <row r="6" spans="1:44">
      <c r="A6" s="74" t="s">
        <v>114</v>
      </c>
      <c r="B6" s="75" t="s">
        <v>113</v>
      </c>
      <c r="C6" s="75" t="s">
        <v>114</v>
      </c>
      <c r="D6" s="75" t="s">
        <v>22</v>
      </c>
      <c r="E6" s="76">
        <v>27742028640</v>
      </c>
      <c r="F6" s="77">
        <v>0.95</v>
      </c>
      <c r="G6" s="94">
        <v>862</v>
      </c>
      <c r="H6" s="94">
        <v>70</v>
      </c>
      <c r="I6" s="94">
        <v>95</v>
      </c>
      <c r="J6" s="94">
        <v>165</v>
      </c>
      <c r="K6" s="94">
        <v>200</v>
      </c>
      <c r="L6" s="94">
        <v>250</v>
      </c>
      <c r="M6" s="94">
        <v>260</v>
      </c>
      <c r="N6" s="94">
        <v>310</v>
      </c>
      <c r="O6" s="94">
        <v>370</v>
      </c>
      <c r="P6" s="94">
        <v>390</v>
      </c>
      <c r="Q6" s="94">
        <v>400</v>
      </c>
      <c r="R6" s="94">
        <v>420</v>
      </c>
      <c r="S6" s="94">
        <v>470</v>
      </c>
      <c r="T6" s="94">
        <v>570</v>
      </c>
      <c r="U6" s="94">
        <v>595</v>
      </c>
      <c r="V6" s="94">
        <v>625</v>
      </c>
      <c r="W6" s="94">
        <v>650</v>
      </c>
      <c r="X6" s="94">
        <v>750</v>
      </c>
      <c r="Y6" s="94">
        <v>862</v>
      </c>
    </row>
    <row r="7" spans="1:44">
      <c r="A7" s="74" t="s">
        <v>110</v>
      </c>
      <c r="B7" s="75" t="s">
        <v>109</v>
      </c>
      <c r="C7" s="75" t="s">
        <v>200</v>
      </c>
      <c r="D7" s="75" t="s">
        <v>22</v>
      </c>
      <c r="E7" s="76">
        <v>51087244522</v>
      </c>
      <c r="F7" s="77">
        <v>1.74</v>
      </c>
      <c r="G7" s="94">
        <v>1581</v>
      </c>
      <c r="H7" s="94">
        <v>100</v>
      </c>
      <c r="I7" s="94">
        <v>125</v>
      </c>
      <c r="J7" s="94">
        <v>185</v>
      </c>
      <c r="K7" s="94">
        <v>200</v>
      </c>
      <c r="L7" s="94">
        <v>220</v>
      </c>
      <c r="M7" s="94">
        <v>230</v>
      </c>
      <c r="N7" s="94">
        <v>280</v>
      </c>
      <c r="O7" s="94">
        <v>340</v>
      </c>
      <c r="P7" s="94">
        <v>360</v>
      </c>
      <c r="Q7" s="94">
        <v>400</v>
      </c>
      <c r="R7" s="94">
        <v>450</v>
      </c>
      <c r="S7" s="94">
        <v>550</v>
      </c>
      <c r="T7" s="94">
        <v>650</v>
      </c>
      <c r="U7" s="94">
        <v>700</v>
      </c>
      <c r="V7" s="94">
        <v>800</v>
      </c>
      <c r="W7" s="94">
        <v>1000</v>
      </c>
      <c r="X7" s="94">
        <v>1100</v>
      </c>
      <c r="Y7" s="94">
        <v>1581</v>
      </c>
    </row>
    <row r="8" spans="1:44" ht="65.650000000000006">
      <c r="A8" s="74" t="s">
        <v>235</v>
      </c>
      <c r="B8" s="75" t="s">
        <v>111</v>
      </c>
      <c r="C8" s="75" t="s">
        <v>201</v>
      </c>
      <c r="D8" s="75" t="s">
        <v>22</v>
      </c>
      <c r="E8" s="76">
        <v>37573918087</v>
      </c>
      <c r="F8" s="77">
        <v>1.27</v>
      </c>
      <c r="G8" s="94">
        <v>1158</v>
      </c>
      <c r="H8" s="94">
        <v>20</v>
      </c>
      <c r="I8" s="94">
        <v>45</v>
      </c>
      <c r="J8" s="94">
        <v>115</v>
      </c>
      <c r="K8" s="94">
        <v>200</v>
      </c>
      <c r="L8" s="94">
        <v>210</v>
      </c>
      <c r="M8" s="94">
        <v>220</v>
      </c>
      <c r="N8" s="94">
        <v>270</v>
      </c>
      <c r="O8" s="94">
        <v>330</v>
      </c>
      <c r="P8" s="94">
        <v>350</v>
      </c>
      <c r="Q8" s="94">
        <v>400</v>
      </c>
      <c r="R8" s="94">
        <v>500</v>
      </c>
      <c r="S8" s="94">
        <v>550</v>
      </c>
      <c r="T8" s="94">
        <v>750</v>
      </c>
      <c r="U8" s="94">
        <v>900</v>
      </c>
      <c r="V8" s="94">
        <v>960</v>
      </c>
      <c r="W8" s="94">
        <v>980</v>
      </c>
      <c r="X8" s="94">
        <v>1080</v>
      </c>
      <c r="Y8" s="94">
        <v>1158</v>
      </c>
    </row>
    <row r="9" spans="1:44" ht="26.25">
      <c r="A9" s="74" t="s">
        <v>236</v>
      </c>
      <c r="B9" s="75" t="s">
        <v>111</v>
      </c>
      <c r="C9" s="75" t="s">
        <v>202</v>
      </c>
      <c r="D9" s="75" t="s">
        <v>22</v>
      </c>
      <c r="E9" s="76">
        <v>4402514558</v>
      </c>
      <c r="F9" s="77">
        <v>0.19</v>
      </c>
      <c r="G9" s="94">
        <v>154</v>
      </c>
      <c r="H9" s="94">
        <v>0</v>
      </c>
      <c r="I9" s="94">
        <v>0</v>
      </c>
      <c r="J9" s="94">
        <v>0</v>
      </c>
      <c r="K9" s="94">
        <v>0</v>
      </c>
      <c r="L9" s="94">
        <v>0</v>
      </c>
      <c r="M9" s="94">
        <v>0</v>
      </c>
      <c r="N9" s="94">
        <v>50</v>
      </c>
      <c r="O9" s="94">
        <v>83</v>
      </c>
      <c r="P9" s="94">
        <v>47</v>
      </c>
      <c r="Q9" s="94">
        <v>50</v>
      </c>
      <c r="R9" s="94">
        <v>60</v>
      </c>
      <c r="S9" s="94">
        <v>65</v>
      </c>
      <c r="T9" s="94">
        <v>70</v>
      </c>
      <c r="U9" s="94">
        <v>80</v>
      </c>
      <c r="V9" s="94">
        <v>85</v>
      </c>
      <c r="W9" s="94">
        <v>90</v>
      </c>
      <c r="X9" s="94">
        <v>95</v>
      </c>
      <c r="Y9" s="94">
        <v>154</v>
      </c>
    </row>
    <row r="10" spans="1:44">
      <c r="A10" s="74" t="s">
        <v>203</v>
      </c>
      <c r="B10" s="75" t="s">
        <v>120</v>
      </c>
      <c r="C10" s="75" t="s">
        <v>203</v>
      </c>
      <c r="D10" s="75" t="s">
        <v>18</v>
      </c>
      <c r="E10" s="76">
        <v>31420264769</v>
      </c>
      <c r="F10" s="77">
        <v>1.21</v>
      </c>
      <c r="G10" s="94">
        <v>1003</v>
      </c>
      <c r="H10" s="94">
        <v>60</v>
      </c>
      <c r="I10" s="94">
        <f t="shared" ref="I10:I18" si="0">+H10+25</f>
        <v>85</v>
      </c>
      <c r="J10" s="94">
        <f t="shared" ref="J10:J18" si="1">+I10+70</f>
        <v>155</v>
      </c>
      <c r="K10" s="94">
        <v>200</v>
      </c>
      <c r="L10" s="94">
        <v>225</v>
      </c>
      <c r="M10" s="94">
        <f t="shared" ref="M10:M18" si="2">+L10+10</f>
        <v>235</v>
      </c>
      <c r="N10" s="94">
        <f t="shared" ref="N10:N18" si="3">+M10+50</f>
        <v>285</v>
      </c>
      <c r="O10" s="94">
        <f t="shared" ref="O10:O18" si="4">+N10+60</f>
        <v>345</v>
      </c>
      <c r="P10" s="94">
        <f t="shared" ref="P10:P18" si="5">+O10+20</f>
        <v>365</v>
      </c>
      <c r="Q10" s="94">
        <v>400</v>
      </c>
      <c r="R10" s="94">
        <v>450</v>
      </c>
      <c r="S10" s="94">
        <f t="shared" ref="S10:S18" si="6">+R10+10</f>
        <v>460</v>
      </c>
      <c r="T10" s="94">
        <f>+S10+20</f>
        <v>480</v>
      </c>
      <c r="U10" s="94">
        <f>+T10+100</f>
        <v>580</v>
      </c>
      <c r="V10" s="94">
        <f>+U10+200</f>
        <v>780</v>
      </c>
      <c r="W10" s="94">
        <f>+V10+10</f>
        <v>790</v>
      </c>
      <c r="X10" s="94">
        <f>+W10+20</f>
        <v>810</v>
      </c>
      <c r="Y10" s="94">
        <v>1003</v>
      </c>
    </row>
    <row r="11" spans="1:44">
      <c r="A11" s="74" t="s">
        <v>102</v>
      </c>
      <c r="B11" s="75" t="s">
        <v>101</v>
      </c>
      <c r="C11" s="75" t="s">
        <v>204</v>
      </c>
      <c r="D11" s="75" t="s">
        <v>22</v>
      </c>
      <c r="E11" s="76">
        <v>18447808737</v>
      </c>
      <c r="F11" s="77">
        <v>0.76</v>
      </c>
      <c r="G11" s="94">
        <v>623</v>
      </c>
      <c r="H11" s="94">
        <v>60</v>
      </c>
      <c r="I11" s="94">
        <v>120</v>
      </c>
      <c r="J11" s="94">
        <v>180</v>
      </c>
      <c r="K11" s="94">
        <v>200</v>
      </c>
      <c r="L11" s="94">
        <v>250</v>
      </c>
      <c r="M11" s="94">
        <v>300</v>
      </c>
      <c r="N11" s="94">
        <v>350</v>
      </c>
      <c r="O11" s="94">
        <v>400</v>
      </c>
      <c r="P11" s="94">
        <v>430</v>
      </c>
      <c r="Q11" s="94">
        <v>460</v>
      </c>
      <c r="R11" s="94">
        <v>500</v>
      </c>
      <c r="S11" s="94">
        <v>530</v>
      </c>
      <c r="T11" s="94">
        <v>560</v>
      </c>
      <c r="U11" s="94">
        <v>580</v>
      </c>
      <c r="V11" s="94">
        <v>600</v>
      </c>
      <c r="W11" s="94">
        <v>610</v>
      </c>
      <c r="X11" s="94">
        <v>623</v>
      </c>
      <c r="Y11" s="94">
        <v>623</v>
      </c>
    </row>
    <row r="12" spans="1:44">
      <c r="A12" s="74" t="s">
        <v>205</v>
      </c>
      <c r="B12" s="75" t="s">
        <v>101</v>
      </c>
      <c r="C12" s="75" t="s">
        <v>205</v>
      </c>
      <c r="D12" s="75" t="s">
        <v>22</v>
      </c>
      <c r="E12" s="76">
        <v>18114661005</v>
      </c>
      <c r="F12" s="77">
        <v>0.76</v>
      </c>
      <c r="G12" s="94">
        <v>624</v>
      </c>
      <c r="H12" s="94">
        <v>0</v>
      </c>
      <c r="I12" s="94">
        <v>0</v>
      </c>
      <c r="J12" s="94">
        <v>0</v>
      </c>
      <c r="K12" s="94">
        <v>100</v>
      </c>
      <c r="L12" s="94">
        <v>120</v>
      </c>
      <c r="M12" s="94">
        <v>150</v>
      </c>
      <c r="N12" s="94">
        <v>200</v>
      </c>
      <c r="O12" s="94">
        <v>250</v>
      </c>
      <c r="P12" s="94">
        <v>270</v>
      </c>
      <c r="Q12" s="94">
        <v>400</v>
      </c>
      <c r="R12" s="94">
        <v>410</v>
      </c>
      <c r="S12" s="94">
        <v>420</v>
      </c>
      <c r="T12" s="94">
        <v>430</v>
      </c>
      <c r="U12" s="94">
        <v>480</v>
      </c>
      <c r="V12" s="94">
        <v>580</v>
      </c>
      <c r="W12" s="94">
        <v>590</v>
      </c>
      <c r="X12" s="94">
        <v>610</v>
      </c>
      <c r="Y12" s="94">
        <v>624</v>
      </c>
    </row>
    <row r="13" spans="1:44">
      <c r="A13" s="74" t="s">
        <v>122</v>
      </c>
      <c r="B13" s="75" t="s">
        <v>116</v>
      </c>
      <c r="C13" s="75" t="s">
        <v>122</v>
      </c>
      <c r="D13" s="75" t="s">
        <v>18</v>
      </c>
      <c r="E13" s="76">
        <v>30713269905</v>
      </c>
      <c r="F13" s="77">
        <v>1.2</v>
      </c>
      <c r="G13" s="94">
        <v>1000</v>
      </c>
      <c r="H13" s="94">
        <v>60</v>
      </c>
      <c r="I13" s="94">
        <f t="shared" si="0"/>
        <v>85</v>
      </c>
      <c r="J13" s="94">
        <f t="shared" si="1"/>
        <v>155</v>
      </c>
      <c r="K13" s="94">
        <v>200</v>
      </c>
      <c r="L13" s="94">
        <v>210</v>
      </c>
      <c r="M13" s="94">
        <f t="shared" si="2"/>
        <v>220</v>
      </c>
      <c r="N13" s="94">
        <f t="shared" si="3"/>
        <v>270</v>
      </c>
      <c r="O13" s="94">
        <f t="shared" si="4"/>
        <v>330</v>
      </c>
      <c r="P13" s="94">
        <f t="shared" si="5"/>
        <v>350</v>
      </c>
      <c r="Q13" s="94">
        <v>400</v>
      </c>
      <c r="R13" s="94">
        <v>500</v>
      </c>
      <c r="S13" s="94">
        <f t="shared" si="6"/>
        <v>510</v>
      </c>
      <c r="T13" s="94">
        <f>+S13+20</f>
        <v>530</v>
      </c>
      <c r="U13" s="94">
        <f>+T13+100</f>
        <v>630</v>
      </c>
      <c r="V13" s="94">
        <f>+U13+200</f>
        <v>830</v>
      </c>
      <c r="W13" s="94">
        <f t="shared" ref="W13:W18" si="7">+V13+10</f>
        <v>840</v>
      </c>
      <c r="X13" s="94">
        <f t="shared" ref="X13:X18" si="8">+W13+20</f>
        <v>860</v>
      </c>
      <c r="Y13" s="94">
        <v>1000</v>
      </c>
    </row>
    <row r="14" spans="1:44">
      <c r="A14" s="74" t="s">
        <v>206</v>
      </c>
      <c r="B14" s="75" t="s">
        <v>123</v>
      </c>
      <c r="C14" s="75" t="s">
        <v>206</v>
      </c>
      <c r="D14" s="75" t="s">
        <v>18</v>
      </c>
      <c r="E14" s="76">
        <v>6880380834</v>
      </c>
      <c r="F14" s="77">
        <v>0.31</v>
      </c>
      <c r="G14" s="94">
        <v>217</v>
      </c>
      <c r="H14" s="94">
        <v>20</v>
      </c>
      <c r="I14" s="94">
        <v>35</v>
      </c>
      <c r="J14" s="94">
        <v>45</v>
      </c>
      <c r="K14" s="94">
        <v>50</v>
      </c>
      <c r="L14" s="94">
        <v>60</v>
      </c>
      <c r="M14" s="94">
        <v>62</v>
      </c>
      <c r="N14" s="94">
        <v>70</v>
      </c>
      <c r="O14" s="94">
        <v>75</v>
      </c>
      <c r="P14" s="94">
        <f t="shared" si="5"/>
        <v>95</v>
      </c>
      <c r="Q14" s="94">
        <v>110</v>
      </c>
      <c r="R14" s="94">
        <v>120</v>
      </c>
      <c r="S14" s="94">
        <f t="shared" si="6"/>
        <v>130</v>
      </c>
      <c r="T14" s="94">
        <v>150</v>
      </c>
      <c r="U14" s="94">
        <v>175</v>
      </c>
      <c r="V14" s="94">
        <v>180</v>
      </c>
      <c r="W14" s="94">
        <v>185</v>
      </c>
      <c r="X14" s="94">
        <v>200</v>
      </c>
      <c r="Y14" s="94">
        <v>217</v>
      </c>
    </row>
    <row r="15" spans="1:44" ht="26.25">
      <c r="A15" s="74" t="s">
        <v>207</v>
      </c>
      <c r="B15" s="75" t="s">
        <v>123</v>
      </c>
      <c r="C15" s="75" t="s">
        <v>207</v>
      </c>
      <c r="D15" s="75" t="s">
        <v>18</v>
      </c>
      <c r="E15" s="76">
        <v>22802905997</v>
      </c>
      <c r="F15" s="77">
        <v>0.72</v>
      </c>
      <c r="G15" s="94">
        <v>719</v>
      </c>
      <c r="H15" s="94">
        <v>10</v>
      </c>
      <c r="I15" s="94">
        <f t="shared" si="0"/>
        <v>35</v>
      </c>
      <c r="J15" s="94">
        <f t="shared" si="1"/>
        <v>105</v>
      </c>
      <c r="K15" s="94">
        <v>200</v>
      </c>
      <c r="L15" s="94">
        <v>220</v>
      </c>
      <c r="M15" s="94">
        <f t="shared" si="2"/>
        <v>230</v>
      </c>
      <c r="N15" s="94">
        <f t="shared" si="3"/>
        <v>280</v>
      </c>
      <c r="O15" s="94">
        <f t="shared" si="4"/>
        <v>340</v>
      </c>
      <c r="P15" s="94">
        <f t="shared" si="5"/>
        <v>360</v>
      </c>
      <c r="Q15" s="94">
        <v>400</v>
      </c>
      <c r="R15" s="94">
        <v>420</v>
      </c>
      <c r="S15" s="94">
        <f t="shared" si="6"/>
        <v>430</v>
      </c>
      <c r="T15" s="94">
        <f>+S15+10</f>
        <v>440</v>
      </c>
      <c r="U15" s="94">
        <f>+T15+50</f>
        <v>490</v>
      </c>
      <c r="V15" s="94">
        <f>+U15+110</f>
        <v>600</v>
      </c>
      <c r="W15" s="94">
        <f t="shared" si="7"/>
        <v>610</v>
      </c>
      <c r="X15" s="94">
        <f t="shared" si="8"/>
        <v>630</v>
      </c>
      <c r="Y15" s="94">
        <v>719</v>
      </c>
    </row>
    <row r="16" spans="1:44">
      <c r="A16" s="74" t="s">
        <v>208</v>
      </c>
      <c r="B16" s="75" t="s">
        <v>123</v>
      </c>
      <c r="C16" s="75" t="s">
        <v>208</v>
      </c>
      <c r="D16" s="75" t="s">
        <v>18</v>
      </c>
      <c r="E16" s="76">
        <v>9349545113</v>
      </c>
      <c r="F16" s="77">
        <v>0.42</v>
      </c>
      <c r="G16" s="94">
        <v>293</v>
      </c>
      <c r="H16" s="94">
        <v>10</v>
      </c>
      <c r="I16" s="94">
        <v>20</v>
      </c>
      <c r="J16" s="94">
        <v>30</v>
      </c>
      <c r="K16" s="94">
        <v>50</v>
      </c>
      <c r="L16" s="94">
        <v>60</v>
      </c>
      <c r="M16" s="94">
        <f t="shared" si="2"/>
        <v>70</v>
      </c>
      <c r="N16" s="94">
        <v>80</v>
      </c>
      <c r="O16" s="94">
        <v>85</v>
      </c>
      <c r="P16" s="94">
        <v>90</v>
      </c>
      <c r="Q16" s="94">
        <v>100</v>
      </c>
      <c r="R16" s="94">
        <v>110</v>
      </c>
      <c r="S16" s="94">
        <f t="shared" si="6"/>
        <v>120</v>
      </c>
      <c r="T16" s="94">
        <v>130</v>
      </c>
      <c r="U16" s="94">
        <v>150</v>
      </c>
      <c r="V16" s="94">
        <v>160</v>
      </c>
      <c r="W16" s="94">
        <v>180</v>
      </c>
      <c r="X16" s="94">
        <v>185</v>
      </c>
      <c r="Y16" s="94">
        <v>293</v>
      </c>
    </row>
    <row r="17" spans="1:50" ht="26.25">
      <c r="A17" s="74" t="s">
        <v>209</v>
      </c>
      <c r="B17" s="75" t="s">
        <v>123</v>
      </c>
      <c r="C17" s="75" t="s">
        <v>209</v>
      </c>
      <c r="D17" s="75" t="s">
        <v>18</v>
      </c>
      <c r="E17" s="76">
        <v>24764667070</v>
      </c>
      <c r="F17" s="77">
        <v>1.1000000000000001</v>
      </c>
      <c r="G17" s="94">
        <v>777</v>
      </c>
      <c r="H17" s="94">
        <v>60</v>
      </c>
      <c r="I17" s="94">
        <f t="shared" si="0"/>
        <v>85</v>
      </c>
      <c r="J17" s="94">
        <f t="shared" si="1"/>
        <v>155</v>
      </c>
      <c r="K17" s="94">
        <v>200</v>
      </c>
      <c r="L17" s="94">
        <v>225</v>
      </c>
      <c r="M17" s="94">
        <f t="shared" si="2"/>
        <v>235</v>
      </c>
      <c r="N17" s="94">
        <f t="shared" si="3"/>
        <v>285</v>
      </c>
      <c r="O17" s="94">
        <f t="shared" si="4"/>
        <v>345</v>
      </c>
      <c r="P17" s="94">
        <f t="shared" si="5"/>
        <v>365</v>
      </c>
      <c r="Q17" s="94">
        <v>300</v>
      </c>
      <c r="R17" s="94">
        <v>320</v>
      </c>
      <c r="S17" s="94">
        <f t="shared" si="6"/>
        <v>330</v>
      </c>
      <c r="T17" s="94">
        <f>+S17+10</f>
        <v>340</v>
      </c>
      <c r="U17" s="94">
        <f>+T17+50</f>
        <v>390</v>
      </c>
      <c r="V17" s="94">
        <f>+U17+110</f>
        <v>500</v>
      </c>
      <c r="W17" s="94">
        <f t="shared" si="7"/>
        <v>510</v>
      </c>
      <c r="X17" s="94">
        <f t="shared" si="8"/>
        <v>530</v>
      </c>
      <c r="Y17" s="94">
        <v>777</v>
      </c>
    </row>
    <row r="18" spans="1:50" ht="26.25">
      <c r="A18" s="80" t="s">
        <v>210</v>
      </c>
      <c r="B18" s="81" t="s">
        <v>185</v>
      </c>
      <c r="C18" s="81" t="s">
        <v>210</v>
      </c>
      <c r="D18" s="81" t="s">
        <v>18</v>
      </c>
      <c r="E18" s="82">
        <v>24437339433</v>
      </c>
      <c r="F18" s="83">
        <v>1.52</v>
      </c>
      <c r="G18" s="96">
        <v>755</v>
      </c>
      <c r="H18" s="96">
        <v>35</v>
      </c>
      <c r="I18" s="96">
        <f t="shared" si="0"/>
        <v>60</v>
      </c>
      <c r="J18" s="96">
        <f t="shared" si="1"/>
        <v>130</v>
      </c>
      <c r="K18" s="96">
        <v>200</v>
      </c>
      <c r="L18" s="96">
        <v>220</v>
      </c>
      <c r="M18" s="96">
        <f t="shared" si="2"/>
        <v>230</v>
      </c>
      <c r="N18" s="96">
        <f t="shared" si="3"/>
        <v>280</v>
      </c>
      <c r="O18" s="96">
        <f t="shared" si="4"/>
        <v>340</v>
      </c>
      <c r="P18" s="96">
        <f t="shared" si="5"/>
        <v>360</v>
      </c>
      <c r="Q18" s="96">
        <v>300</v>
      </c>
      <c r="R18" s="96">
        <v>310</v>
      </c>
      <c r="S18" s="96">
        <f t="shared" si="6"/>
        <v>320</v>
      </c>
      <c r="T18" s="96">
        <f>+S18+10</f>
        <v>330</v>
      </c>
      <c r="U18" s="96">
        <f>+T18+50</f>
        <v>380</v>
      </c>
      <c r="V18" s="96">
        <f>+U18+110</f>
        <v>490</v>
      </c>
      <c r="W18" s="96">
        <f t="shared" si="7"/>
        <v>500</v>
      </c>
      <c r="X18" s="96">
        <f t="shared" si="8"/>
        <v>520</v>
      </c>
      <c r="Y18" s="96">
        <v>755</v>
      </c>
    </row>
    <row r="19" spans="1:50" ht="26.25">
      <c r="A19" s="95" t="s">
        <v>127</v>
      </c>
      <c r="B19" s="96" t="s">
        <v>126</v>
      </c>
      <c r="C19" s="96" t="s">
        <v>126</v>
      </c>
      <c r="D19" s="96" t="s">
        <v>183</v>
      </c>
      <c r="E19" s="96">
        <v>41281267500</v>
      </c>
      <c r="F19" s="117">
        <v>4.3499999999999996</v>
      </c>
      <c r="G19" s="96">
        <v>2500</v>
      </c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AS19" s="135"/>
      <c r="AT19" s="135"/>
      <c r="AU19" s="135"/>
      <c r="AV19" s="135"/>
      <c r="AW19" s="135"/>
      <c r="AX19" s="135"/>
    </row>
    <row r="20" spans="1:50" ht="14.65" thickBot="1">
      <c r="G20" s="97"/>
      <c r="H20" s="97"/>
      <c r="I20" s="97"/>
      <c r="J20" s="97"/>
      <c r="K20" s="98"/>
      <c r="L20" s="97"/>
      <c r="M20" s="97"/>
      <c r="N20" s="97"/>
      <c r="O20" s="97"/>
      <c r="P20" s="97"/>
      <c r="Q20" s="98"/>
      <c r="R20" s="97"/>
      <c r="S20" s="97"/>
      <c r="T20" s="97"/>
      <c r="U20" s="97"/>
      <c r="V20" s="97"/>
      <c r="W20" s="97"/>
      <c r="X20" s="97"/>
      <c r="Y20" s="98"/>
    </row>
    <row r="21" spans="1:50" ht="14.65" thickBot="1">
      <c r="A21" s="216" t="s">
        <v>237</v>
      </c>
      <c r="B21" s="217"/>
      <c r="C21" s="217"/>
      <c r="D21" s="217"/>
      <c r="E21" s="118">
        <f>SUM(E2:E20)</f>
        <v>955641556897</v>
      </c>
      <c r="F21" s="119">
        <f>SUM(F2:F20)</f>
        <v>39.390000000000008</v>
      </c>
      <c r="G21" s="99">
        <f>SUM(G2:G20)</f>
        <v>31044</v>
      </c>
      <c r="H21" s="99">
        <f>SUM(H2:H20)</f>
        <v>575</v>
      </c>
      <c r="I21" s="99">
        <f t="shared" ref="I21:Y21" si="9">SUM(I2:I20)</f>
        <v>935</v>
      </c>
      <c r="J21" s="99">
        <f t="shared" si="9"/>
        <v>1765</v>
      </c>
      <c r="K21" s="99">
        <f t="shared" si="9"/>
        <v>2640</v>
      </c>
      <c r="L21" s="99">
        <f t="shared" si="9"/>
        <v>3170</v>
      </c>
      <c r="M21" s="99">
        <f t="shared" si="9"/>
        <v>3482</v>
      </c>
      <c r="N21" s="99">
        <f t="shared" si="9"/>
        <v>4210</v>
      </c>
      <c r="O21" s="99">
        <f t="shared" si="9"/>
        <v>5143</v>
      </c>
      <c r="P21" s="99">
        <f t="shared" si="9"/>
        <v>5462</v>
      </c>
      <c r="Q21" s="99">
        <f t="shared" si="9"/>
        <v>5880</v>
      </c>
      <c r="R21" s="99">
        <f t="shared" si="9"/>
        <v>7105</v>
      </c>
      <c r="S21" s="99">
        <f t="shared" si="9"/>
        <v>8220</v>
      </c>
      <c r="T21" s="99">
        <f t="shared" si="9"/>
        <v>10415</v>
      </c>
      <c r="U21" s="99">
        <f t="shared" si="9"/>
        <v>12815</v>
      </c>
      <c r="V21" s="99">
        <f t="shared" si="9"/>
        <v>15675</v>
      </c>
      <c r="W21" s="99">
        <f t="shared" si="9"/>
        <v>18820</v>
      </c>
      <c r="X21" s="99">
        <f t="shared" si="9"/>
        <v>21578</v>
      </c>
      <c r="Y21" s="100">
        <f t="shared" si="9"/>
        <v>28544</v>
      </c>
    </row>
    <row r="22" spans="1:50" s="135" customFormat="1">
      <c r="E22" s="136"/>
      <c r="F22" s="137"/>
      <c r="G22" s="137"/>
      <c r="K22" s="138"/>
      <c r="Q22" s="138"/>
      <c r="Y22" s="138"/>
    </row>
    <row r="23" spans="1:50" s="135" customFormat="1">
      <c r="E23" s="136"/>
      <c r="F23" s="137"/>
      <c r="G23" s="137"/>
      <c r="K23" s="138"/>
      <c r="Q23" s="138"/>
      <c r="Y23" s="138"/>
    </row>
    <row r="24" spans="1:50" s="135" customFormat="1">
      <c r="E24" s="136"/>
      <c r="F24" s="137"/>
      <c r="G24" s="137"/>
      <c r="K24" s="138"/>
      <c r="Q24" s="138"/>
      <c r="Y24" s="138"/>
    </row>
    <row r="25" spans="1:50" s="135" customFormat="1">
      <c r="E25" s="136"/>
      <c r="F25" s="137"/>
      <c r="G25" s="137"/>
      <c r="K25" s="138"/>
      <c r="Q25" s="138"/>
      <c r="Y25" s="138"/>
    </row>
    <row r="26" spans="1:50" s="135" customFormat="1">
      <c r="E26" s="136"/>
      <c r="F26" s="137"/>
      <c r="G26" s="137"/>
      <c r="K26" s="138"/>
      <c r="Q26" s="138"/>
      <c r="Y26" s="138"/>
    </row>
    <row r="27" spans="1:50" s="135" customFormat="1">
      <c r="E27" s="136"/>
      <c r="F27" s="137"/>
      <c r="G27" s="137"/>
      <c r="K27" s="138"/>
      <c r="Q27" s="138"/>
      <c r="Y27" s="138"/>
    </row>
    <row r="28" spans="1:50" s="135" customFormat="1">
      <c r="E28" s="136"/>
      <c r="F28" s="137"/>
      <c r="G28" s="137"/>
      <c r="K28" s="138"/>
      <c r="Q28" s="138"/>
      <c r="Y28" s="138"/>
    </row>
    <row r="29" spans="1:50" s="135" customFormat="1">
      <c r="E29" s="136"/>
      <c r="F29" s="137"/>
      <c r="G29" s="137"/>
      <c r="K29" s="138"/>
      <c r="Q29" s="138"/>
      <c r="Y29" s="138"/>
    </row>
    <row r="30" spans="1:50" s="135" customFormat="1">
      <c r="E30" s="136"/>
      <c r="F30" s="137"/>
      <c r="G30" s="137"/>
      <c r="K30" s="138"/>
      <c r="Q30" s="138"/>
      <c r="Y30" s="138"/>
    </row>
    <row r="31" spans="1:50" s="135" customFormat="1">
      <c r="E31" s="136"/>
      <c r="F31" s="137"/>
      <c r="G31" s="137"/>
      <c r="K31" s="138"/>
      <c r="Q31" s="138"/>
      <c r="Y31" s="138"/>
    </row>
    <row r="32" spans="1:50" s="135" customFormat="1">
      <c r="E32" s="136"/>
      <c r="F32" s="137"/>
      <c r="G32" s="137"/>
      <c r="K32" s="138"/>
      <c r="Q32" s="138"/>
      <c r="Y32" s="138"/>
    </row>
    <row r="33" spans="5:25" s="135" customFormat="1">
      <c r="E33" s="136"/>
      <c r="F33" s="137"/>
      <c r="G33" s="137"/>
      <c r="K33" s="138"/>
      <c r="Q33" s="138"/>
      <c r="Y33" s="138"/>
    </row>
    <row r="34" spans="5:25" s="135" customFormat="1">
      <c r="E34" s="136"/>
      <c r="F34" s="137"/>
      <c r="G34" s="137"/>
      <c r="K34" s="138"/>
      <c r="Q34" s="138"/>
      <c r="Y34" s="138"/>
    </row>
    <row r="35" spans="5:25" s="135" customFormat="1">
      <c r="E35" s="136"/>
      <c r="F35" s="137"/>
      <c r="G35" s="137"/>
      <c r="K35" s="138"/>
      <c r="Q35" s="138"/>
      <c r="Y35" s="138"/>
    </row>
    <row r="36" spans="5:25" s="135" customFormat="1">
      <c r="E36" s="136"/>
      <c r="F36" s="137"/>
      <c r="G36" s="137"/>
      <c r="K36" s="138"/>
      <c r="Q36" s="138"/>
      <c r="Y36" s="138"/>
    </row>
    <row r="37" spans="5:25" s="135" customFormat="1">
      <c r="E37" s="136"/>
      <c r="F37" s="137"/>
      <c r="G37" s="137"/>
      <c r="K37" s="138"/>
      <c r="Q37" s="138"/>
      <c r="Y37" s="138"/>
    </row>
    <row r="38" spans="5:25" s="135" customFormat="1">
      <c r="E38" s="136"/>
      <c r="F38" s="137"/>
      <c r="G38" s="137"/>
      <c r="K38" s="138"/>
      <c r="Q38" s="138"/>
      <c r="Y38" s="138"/>
    </row>
    <row r="39" spans="5:25" s="135" customFormat="1">
      <c r="E39" s="136"/>
      <c r="F39" s="137"/>
      <c r="G39" s="137"/>
      <c r="K39" s="138"/>
      <c r="Q39" s="138"/>
      <c r="Y39" s="138"/>
    </row>
    <row r="40" spans="5:25" s="135" customFormat="1">
      <c r="E40" s="136"/>
      <c r="F40" s="137"/>
      <c r="G40" s="137"/>
      <c r="K40" s="138"/>
      <c r="Q40" s="138"/>
      <c r="Y40" s="138"/>
    </row>
    <row r="41" spans="5:25" s="135" customFormat="1">
      <c r="E41" s="136"/>
      <c r="F41" s="137"/>
      <c r="G41" s="137"/>
      <c r="K41" s="138"/>
      <c r="Q41" s="138"/>
      <c r="Y41" s="138"/>
    </row>
    <row r="42" spans="5:25" s="135" customFormat="1">
      <c r="E42" s="136"/>
      <c r="F42" s="137"/>
      <c r="G42" s="137"/>
      <c r="K42" s="138"/>
      <c r="Q42" s="138"/>
      <c r="Y42" s="138"/>
    </row>
    <row r="43" spans="5:25" s="135" customFormat="1">
      <c r="E43" s="136"/>
      <c r="F43" s="137"/>
      <c r="G43" s="137"/>
      <c r="K43" s="138"/>
      <c r="Q43" s="138"/>
      <c r="Y43" s="138"/>
    </row>
    <row r="44" spans="5:25" s="135" customFormat="1">
      <c r="E44" s="136"/>
      <c r="F44" s="137"/>
      <c r="G44" s="137"/>
      <c r="K44" s="138"/>
      <c r="Q44" s="138"/>
      <c r="Y44" s="138"/>
    </row>
    <row r="45" spans="5:25" s="135" customFormat="1">
      <c r="E45" s="136"/>
      <c r="F45" s="137"/>
      <c r="G45" s="137"/>
      <c r="K45" s="138"/>
      <c r="Q45" s="138"/>
      <c r="Y45" s="138"/>
    </row>
    <row r="46" spans="5:25" s="135" customFormat="1">
      <c r="E46" s="136"/>
      <c r="F46" s="137"/>
      <c r="G46" s="137"/>
      <c r="K46" s="138"/>
      <c r="Q46" s="138"/>
      <c r="Y46" s="138"/>
    </row>
    <row r="47" spans="5:25" s="135" customFormat="1">
      <c r="E47" s="136"/>
      <c r="F47" s="137"/>
      <c r="G47" s="137"/>
      <c r="K47" s="138"/>
      <c r="Q47" s="138"/>
      <c r="Y47" s="138"/>
    </row>
    <row r="48" spans="5:25" s="135" customFormat="1">
      <c r="E48" s="136"/>
      <c r="F48" s="137"/>
      <c r="G48" s="137"/>
      <c r="K48" s="138"/>
      <c r="Q48" s="138"/>
      <c r="Y48" s="138"/>
    </row>
    <row r="49" spans="5:25" s="135" customFormat="1">
      <c r="E49" s="136"/>
      <c r="F49" s="137"/>
      <c r="G49" s="137"/>
      <c r="K49" s="138"/>
      <c r="Q49" s="138"/>
      <c r="Y49" s="138"/>
    </row>
    <row r="50" spans="5:25" s="135" customFormat="1">
      <c r="E50" s="136"/>
      <c r="F50" s="137"/>
      <c r="G50" s="137"/>
      <c r="K50" s="138"/>
      <c r="Q50" s="138"/>
      <c r="Y50" s="138"/>
    </row>
    <row r="51" spans="5:25" s="135" customFormat="1">
      <c r="E51" s="136"/>
      <c r="F51" s="137"/>
      <c r="G51" s="137"/>
      <c r="K51" s="138"/>
      <c r="Q51" s="138"/>
      <c r="Y51" s="138"/>
    </row>
    <row r="52" spans="5:25" s="135" customFormat="1">
      <c r="E52" s="136"/>
      <c r="F52" s="137"/>
      <c r="G52" s="137"/>
      <c r="K52" s="138"/>
      <c r="Q52" s="138"/>
      <c r="Y52" s="138"/>
    </row>
    <row r="53" spans="5:25" s="135" customFormat="1">
      <c r="E53" s="136"/>
      <c r="F53" s="137"/>
      <c r="G53" s="137"/>
      <c r="K53" s="138"/>
      <c r="Q53" s="138"/>
      <c r="Y53" s="138"/>
    </row>
    <row r="54" spans="5:25" s="135" customFormat="1">
      <c r="E54" s="136"/>
      <c r="F54" s="137"/>
      <c r="G54" s="137"/>
      <c r="K54" s="138"/>
      <c r="Q54" s="138"/>
      <c r="Y54" s="138"/>
    </row>
    <row r="55" spans="5:25" s="135" customFormat="1">
      <c r="E55" s="136"/>
      <c r="F55" s="137"/>
      <c r="G55" s="137"/>
      <c r="K55" s="138"/>
      <c r="Q55" s="138"/>
      <c r="Y55" s="138"/>
    </row>
    <row r="56" spans="5:25" s="135" customFormat="1">
      <c r="E56" s="136"/>
      <c r="F56" s="137"/>
      <c r="G56" s="137"/>
      <c r="K56" s="138"/>
      <c r="Q56" s="138"/>
      <c r="Y56" s="138"/>
    </row>
    <row r="57" spans="5:25" s="135" customFormat="1">
      <c r="E57" s="136"/>
      <c r="F57" s="137"/>
      <c r="G57" s="137"/>
      <c r="K57" s="138"/>
      <c r="Q57" s="138"/>
      <c r="Y57" s="138"/>
    </row>
    <row r="58" spans="5:25" s="135" customFormat="1">
      <c r="E58" s="136"/>
      <c r="F58" s="137"/>
      <c r="G58" s="137"/>
      <c r="K58" s="138"/>
      <c r="Q58" s="138"/>
      <c r="Y58" s="138"/>
    </row>
    <row r="59" spans="5:25" s="135" customFormat="1">
      <c r="E59" s="136"/>
      <c r="F59" s="137"/>
      <c r="G59" s="137"/>
      <c r="K59" s="138"/>
      <c r="Q59" s="138"/>
      <c r="Y59" s="138"/>
    </row>
    <row r="60" spans="5:25" s="135" customFormat="1">
      <c r="E60" s="136"/>
      <c r="F60" s="137"/>
      <c r="G60" s="137"/>
      <c r="K60" s="138"/>
      <c r="Q60" s="138"/>
      <c r="Y60" s="138"/>
    </row>
    <row r="61" spans="5:25" s="135" customFormat="1">
      <c r="E61" s="136"/>
      <c r="F61" s="137"/>
      <c r="G61" s="137"/>
      <c r="K61" s="138"/>
      <c r="Q61" s="138"/>
      <c r="Y61" s="138"/>
    </row>
    <row r="62" spans="5:25" s="135" customFormat="1">
      <c r="E62" s="136"/>
      <c r="F62" s="137"/>
      <c r="G62" s="137"/>
      <c r="K62" s="138"/>
      <c r="Q62" s="138"/>
      <c r="Y62" s="138"/>
    </row>
    <row r="63" spans="5:25" s="135" customFormat="1">
      <c r="E63" s="136"/>
      <c r="F63" s="137"/>
      <c r="G63" s="137"/>
      <c r="K63" s="138"/>
      <c r="Q63" s="138"/>
      <c r="Y63" s="138"/>
    </row>
    <row r="64" spans="5:25" s="135" customFormat="1">
      <c r="E64" s="136"/>
      <c r="F64" s="137"/>
      <c r="G64" s="137"/>
      <c r="K64" s="138"/>
      <c r="Q64" s="138"/>
      <c r="Y64" s="138"/>
    </row>
    <row r="65" spans="5:25" s="135" customFormat="1">
      <c r="E65" s="136"/>
      <c r="F65" s="137"/>
      <c r="G65" s="137"/>
      <c r="K65" s="138"/>
      <c r="Q65" s="138"/>
      <c r="Y65" s="138"/>
    </row>
    <row r="66" spans="5:25" s="135" customFormat="1">
      <c r="E66" s="136"/>
      <c r="F66" s="137"/>
      <c r="G66" s="137"/>
      <c r="K66" s="138"/>
      <c r="Q66" s="138"/>
      <c r="Y66" s="138"/>
    </row>
    <row r="67" spans="5:25" s="135" customFormat="1">
      <c r="E67" s="136"/>
      <c r="F67" s="137"/>
      <c r="G67" s="137"/>
      <c r="K67" s="138"/>
      <c r="Q67" s="138"/>
      <c r="Y67" s="138"/>
    </row>
    <row r="68" spans="5:25" s="135" customFormat="1">
      <c r="E68" s="136"/>
      <c r="F68" s="137"/>
      <c r="G68" s="137"/>
      <c r="K68" s="138"/>
      <c r="Q68" s="138"/>
      <c r="Y68" s="138"/>
    </row>
    <row r="69" spans="5:25" s="135" customFormat="1">
      <c r="E69" s="136"/>
      <c r="F69" s="137"/>
      <c r="G69" s="137"/>
      <c r="K69" s="138"/>
      <c r="Q69" s="138"/>
      <c r="Y69" s="138"/>
    </row>
    <row r="70" spans="5:25" s="135" customFormat="1">
      <c r="E70" s="136"/>
      <c r="F70" s="137"/>
      <c r="G70" s="137"/>
      <c r="K70" s="138"/>
      <c r="Q70" s="138"/>
      <c r="Y70" s="138"/>
    </row>
    <row r="71" spans="5:25" s="135" customFormat="1">
      <c r="E71" s="136"/>
      <c r="F71" s="137"/>
      <c r="G71" s="137"/>
      <c r="K71" s="138"/>
      <c r="Q71" s="138"/>
      <c r="Y71" s="138"/>
    </row>
    <row r="72" spans="5:25" s="135" customFormat="1">
      <c r="E72" s="136"/>
      <c r="F72" s="137"/>
      <c r="G72" s="137"/>
      <c r="K72" s="138"/>
      <c r="Q72" s="138"/>
      <c r="Y72" s="138"/>
    </row>
    <row r="73" spans="5:25" s="135" customFormat="1">
      <c r="E73" s="136"/>
      <c r="F73" s="137"/>
      <c r="G73" s="137"/>
      <c r="K73" s="138"/>
      <c r="Q73" s="138"/>
      <c r="Y73" s="138"/>
    </row>
    <row r="74" spans="5:25" s="135" customFormat="1">
      <c r="E74" s="136"/>
      <c r="F74" s="137"/>
      <c r="G74" s="137"/>
      <c r="K74" s="138"/>
      <c r="Q74" s="138"/>
      <c r="Y74" s="138"/>
    </row>
    <row r="75" spans="5:25" s="135" customFormat="1">
      <c r="E75" s="136"/>
      <c r="F75" s="137"/>
      <c r="G75" s="137"/>
      <c r="K75" s="138"/>
      <c r="Q75" s="138"/>
      <c r="Y75" s="138"/>
    </row>
    <row r="76" spans="5:25" s="135" customFormat="1">
      <c r="E76" s="136"/>
      <c r="F76" s="137"/>
      <c r="G76" s="137"/>
      <c r="K76" s="138"/>
      <c r="Q76" s="138"/>
      <c r="Y76" s="138"/>
    </row>
    <row r="77" spans="5:25" s="135" customFormat="1">
      <c r="E77" s="136"/>
      <c r="F77" s="137"/>
      <c r="G77" s="137"/>
      <c r="K77" s="138"/>
      <c r="Q77" s="138"/>
      <c r="Y77" s="138"/>
    </row>
    <row r="78" spans="5:25" s="135" customFormat="1">
      <c r="E78" s="136"/>
      <c r="F78" s="137"/>
      <c r="G78" s="137"/>
      <c r="K78" s="138"/>
      <c r="Q78" s="138"/>
      <c r="Y78" s="138"/>
    </row>
    <row r="79" spans="5:25" s="135" customFormat="1">
      <c r="E79" s="136"/>
      <c r="F79" s="137"/>
      <c r="G79" s="137"/>
      <c r="K79" s="138"/>
      <c r="Q79" s="138"/>
      <c r="Y79" s="138"/>
    </row>
    <row r="80" spans="5:25" s="135" customFormat="1">
      <c r="E80" s="136"/>
      <c r="F80" s="137"/>
      <c r="G80" s="137"/>
      <c r="K80" s="138"/>
      <c r="Q80" s="138"/>
      <c r="Y80" s="138"/>
    </row>
    <row r="81" spans="5:25" s="135" customFormat="1">
      <c r="E81" s="136"/>
      <c r="F81" s="137"/>
      <c r="G81" s="137"/>
      <c r="K81" s="138"/>
      <c r="Q81" s="138"/>
      <c r="Y81" s="138"/>
    </row>
    <row r="82" spans="5:25" s="135" customFormat="1">
      <c r="E82" s="136"/>
      <c r="F82" s="137"/>
      <c r="G82" s="137"/>
      <c r="K82" s="138"/>
      <c r="Q82" s="138"/>
      <c r="Y82" s="138"/>
    </row>
    <row r="83" spans="5:25" s="135" customFormat="1">
      <c r="E83" s="136"/>
      <c r="F83" s="137"/>
      <c r="G83" s="137"/>
      <c r="K83" s="138"/>
      <c r="Q83" s="138"/>
      <c r="Y83" s="138"/>
    </row>
    <row r="84" spans="5:25" s="135" customFormat="1">
      <c r="E84" s="136"/>
      <c r="F84" s="137"/>
      <c r="G84" s="137"/>
      <c r="K84" s="138"/>
      <c r="Q84" s="138"/>
      <c r="Y84" s="138"/>
    </row>
    <row r="85" spans="5:25" s="135" customFormat="1">
      <c r="E85" s="136"/>
      <c r="F85" s="137"/>
      <c r="G85" s="137"/>
      <c r="K85" s="138"/>
      <c r="Q85" s="138"/>
      <c r="Y85" s="138"/>
    </row>
    <row r="86" spans="5:25" s="135" customFormat="1">
      <c r="E86" s="136"/>
      <c r="F86" s="137"/>
      <c r="G86" s="137"/>
      <c r="K86" s="138"/>
      <c r="Q86" s="138"/>
      <c r="Y86" s="138"/>
    </row>
    <row r="87" spans="5:25" s="135" customFormat="1">
      <c r="E87" s="136"/>
      <c r="F87" s="137"/>
      <c r="G87" s="137"/>
      <c r="K87" s="138"/>
      <c r="Q87" s="138"/>
      <c r="Y87" s="138"/>
    </row>
    <row r="88" spans="5:25" s="135" customFormat="1">
      <c r="E88" s="136"/>
      <c r="F88" s="137"/>
      <c r="G88" s="137"/>
      <c r="K88" s="138"/>
      <c r="Q88" s="138"/>
      <c r="Y88" s="138"/>
    </row>
    <row r="89" spans="5:25" s="135" customFormat="1">
      <c r="E89" s="136"/>
      <c r="F89" s="137"/>
      <c r="G89" s="137"/>
      <c r="K89" s="138"/>
      <c r="Q89" s="138"/>
      <c r="Y89" s="138"/>
    </row>
    <row r="90" spans="5:25" s="135" customFormat="1">
      <c r="E90" s="136"/>
      <c r="F90" s="137"/>
      <c r="G90" s="137"/>
      <c r="K90" s="138"/>
      <c r="Q90" s="138"/>
      <c r="Y90" s="138"/>
    </row>
    <row r="91" spans="5:25" s="135" customFormat="1">
      <c r="E91" s="136"/>
      <c r="F91" s="137"/>
      <c r="G91" s="137"/>
      <c r="K91" s="138"/>
      <c r="Q91" s="138"/>
      <c r="Y91" s="138"/>
    </row>
    <row r="92" spans="5:25" s="135" customFormat="1">
      <c r="E92" s="136"/>
      <c r="F92" s="137"/>
      <c r="G92" s="137"/>
      <c r="K92" s="138"/>
      <c r="Q92" s="138"/>
      <c r="Y92" s="138"/>
    </row>
    <row r="93" spans="5:25" s="135" customFormat="1">
      <c r="E93" s="136"/>
      <c r="F93" s="137"/>
      <c r="G93" s="137"/>
      <c r="K93" s="138"/>
      <c r="Q93" s="138"/>
      <c r="Y93" s="138"/>
    </row>
    <row r="94" spans="5:25" s="135" customFormat="1">
      <c r="E94" s="136"/>
      <c r="F94" s="137"/>
      <c r="G94" s="137"/>
      <c r="K94" s="138"/>
      <c r="Q94" s="138"/>
      <c r="Y94" s="138"/>
    </row>
    <row r="95" spans="5:25" s="135" customFormat="1">
      <c r="E95" s="136"/>
      <c r="F95" s="137"/>
      <c r="G95" s="137"/>
      <c r="K95" s="138"/>
      <c r="Q95" s="138"/>
      <c r="Y95" s="138"/>
    </row>
    <row r="96" spans="5:25" s="135" customFormat="1">
      <c r="E96" s="136"/>
      <c r="F96" s="137"/>
      <c r="G96" s="137"/>
      <c r="K96" s="138"/>
      <c r="Q96" s="138"/>
      <c r="Y96" s="138"/>
    </row>
    <row r="97" spans="5:25" s="135" customFormat="1">
      <c r="E97" s="136"/>
      <c r="F97" s="137"/>
      <c r="G97" s="137"/>
      <c r="K97" s="138"/>
      <c r="Q97" s="138"/>
      <c r="Y97" s="138"/>
    </row>
    <row r="98" spans="5:25" s="135" customFormat="1">
      <c r="E98" s="136"/>
      <c r="F98" s="137"/>
      <c r="G98" s="137"/>
      <c r="K98" s="138"/>
      <c r="Q98" s="138"/>
      <c r="Y98" s="138"/>
    </row>
    <row r="99" spans="5:25" s="135" customFormat="1">
      <c r="E99" s="136"/>
      <c r="F99" s="137"/>
      <c r="G99" s="137"/>
      <c r="K99" s="138"/>
      <c r="Q99" s="138"/>
      <c r="Y99" s="138"/>
    </row>
    <row r="100" spans="5:25" s="135" customFormat="1">
      <c r="E100" s="136"/>
      <c r="F100" s="137"/>
      <c r="G100" s="137"/>
      <c r="K100" s="138"/>
      <c r="Q100" s="138"/>
      <c r="Y100" s="138"/>
    </row>
    <row r="101" spans="5:25" s="135" customFormat="1">
      <c r="E101" s="136"/>
      <c r="F101" s="137"/>
      <c r="G101" s="137"/>
      <c r="K101" s="138"/>
      <c r="Q101" s="138"/>
      <c r="Y101" s="138"/>
    </row>
    <row r="102" spans="5:25" s="135" customFormat="1">
      <c r="E102" s="136"/>
      <c r="F102" s="137"/>
      <c r="G102" s="137"/>
      <c r="K102" s="138"/>
      <c r="Q102" s="138"/>
      <c r="Y102" s="138"/>
    </row>
    <row r="103" spans="5:25" s="135" customFormat="1">
      <c r="E103" s="136"/>
      <c r="F103" s="137"/>
      <c r="G103" s="137"/>
      <c r="K103" s="138"/>
      <c r="Q103" s="138"/>
      <c r="Y103" s="138"/>
    </row>
    <row r="104" spans="5:25" s="135" customFormat="1">
      <c r="E104" s="136"/>
      <c r="F104" s="137"/>
      <c r="G104" s="137"/>
      <c r="K104" s="138"/>
      <c r="Q104" s="138"/>
      <c r="Y104" s="138"/>
    </row>
    <row r="105" spans="5:25" s="135" customFormat="1">
      <c r="E105" s="136"/>
      <c r="F105" s="137"/>
      <c r="G105" s="137"/>
      <c r="K105" s="138"/>
      <c r="Q105" s="138"/>
      <c r="Y105" s="138"/>
    </row>
    <row r="106" spans="5:25" s="135" customFormat="1">
      <c r="E106" s="136"/>
      <c r="F106" s="137"/>
      <c r="G106" s="137"/>
      <c r="K106" s="138"/>
      <c r="Q106" s="138"/>
      <c r="Y106" s="138"/>
    </row>
    <row r="107" spans="5:25" s="135" customFormat="1">
      <c r="E107" s="136"/>
      <c r="F107" s="137"/>
      <c r="G107" s="137"/>
      <c r="K107" s="138"/>
      <c r="Q107" s="138"/>
      <c r="Y107" s="138"/>
    </row>
    <row r="108" spans="5:25" s="135" customFormat="1">
      <c r="E108" s="136"/>
      <c r="F108" s="137"/>
      <c r="G108" s="137"/>
      <c r="K108" s="138"/>
      <c r="Q108" s="138"/>
      <c r="Y108" s="138"/>
    </row>
    <row r="109" spans="5:25" s="135" customFormat="1">
      <c r="E109" s="136"/>
      <c r="F109" s="137"/>
      <c r="G109" s="137"/>
      <c r="K109" s="138"/>
      <c r="Q109" s="138"/>
      <c r="Y109" s="138"/>
    </row>
    <row r="110" spans="5:25" s="135" customFormat="1">
      <c r="E110" s="136"/>
      <c r="F110" s="137"/>
      <c r="G110" s="137"/>
      <c r="K110" s="138"/>
      <c r="Q110" s="138"/>
      <c r="Y110" s="138"/>
    </row>
    <row r="111" spans="5:25" s="135" customFormat="1">
      <c r="E111" s="136"/>
      <c r="F111" s="137"/>
      <c r="G111" s="137"/>
      <c r="K111" s="138"/>
      <c r="Q111" s="138"/>
      <c r="Y111" s="138"/>
    </row>
    <row r="112" spans="5:25" s="135" customFormat="1">
      <c r="E112" s="136"/>
      <c r="F112" s="137"/>
      <c r="G112" s="137"/>
      <c r="K112" s="138"/>
      <c r="Q112" s="138"/>
      <c r="Y112" s="138"/>
    </row>
    <row r="113" spans="5:25" s="135" customFormat="1">
      <c r="E113" s="136"/>
      <c r="F113" s="137"/>
      <c r="G113" s="137"/>
      <c r="K113" s="138"/>
      <c r="Q113" s="138"/>
      <c r="Y113" s="138"/>
    </row>
    <row r="114" spans="5:25" s="135" customFormat="1">
      <c r="E114" s="136"/>
      <c r="F114" s="137"/>
      <c r="G114" s="137"/>
      <c r="K114" s="138"/>
      <c r="Q114" s="138"/>
      <c r="Y114" s="138"/>
    </row>
    <row r="115" spans="5:25" s="135" customFormat="1">
      <c r="E115" s="136"/>
      <c r="F115" s="137"/>
      <c r="G115" s="137"/>
      <c r="K115" s="138"/>
      <c r="Q115" s="138"/>
      <c r="Y115" s="138"/>
    </row>
    <row r="116" spans="5:25" s="135" customFormat="1">
      <c r="E116" s="136"/>
      <c r="F116" s="137"/>
      <c r="G116" s="137"/>
      <c r="K116" s="138"/>
      <c r="Q116" s="138"/>
      <c r="Y116" s="138"/>
    </row>
    <row r="117" spans="5:25" s="135" customFormat="1">
      <c r="E117" s="136"/>
      <c r="F117" s="137"/>
      <c r="G117" s="137"/>
      <c r="K117" s="138"/>
      <c r="Q117" s="138"/>
      <c r="Y117" s="138"/>
    </row>
    <row r="118" spans="5:25" s="135" customFormat="1">
      <c r="E118" s="136"/>
      <c r="F118" s="137"/>
      <c r="G118" s="137"/>
      <c r="K118" s="138"/>
      <c r="Q118" s="138"/>
      <c r="Y118" s="138"/>
    </row>
    <row r="119" spans="5:25" s="135" customFormat="1">
      <c r="E119" s="136"/>
      <c r="F119" s="137"/>
      <c r="G119" s="137"/>
      <c r="K119" s="138"/>
      <c r="Q119" s="138"/>
      <c r="Y119" s="138"/>
    </row>
    <row r="120" spans="5:25" s="135" customFormat="1">
      <c r="E120" s="136"/>
      <c r="F120" s="137"/>
      <c r="G120" s="137"/>
      <c r="K120" s="138"/>
      <c r="Q120" s="138"/>
      <c r="Y120" s="138"/>
    </row>
    <row r="121" spans="5:25" s="135" customFormat="1">
      <c r="E121" s="136"/>
      <c r="F121" s="137"/>
      <c r="G121" s="137"/>
      <c r="K121" s="138"/>
      <c r="Q121" s="138"/>
      <c r="Y121" s="138"/>
    </row>
    <row r="122" spans="5:25" s="135" customFormat="1">
      <c r="E122" s="136"/>
      <c r="F122" s="137"/>
      <c r="G122" s="137"/>
      <c r="K122" s="138"/>
      <c r="Q122" s="138"/>
      <c r="Y122" s="138"/>
    </row>
    <row r="123" spans="5:25" s="135" customFormat="1">
      <c r="E123" s="136"/>
      <c r="F123" s="137"/>
      <c r="G123" s="137"/>
      <c r="K123" s="138"/>
      <c r="Q123" s="138"/>
      <c r="Y123" s="138"/>
    </row>
    <row r="124" spans="5:25" s="135" customFormat="1">
      <c r="E124" s="136"/>
      <c r="F124" s="137"/>
      <c r="G124" s="137"/>
      <c r="K124" s="138"/>
      <c r="Q124" s="138"/>
      <c r="Y124" s="138"/>
    </row>
    <row r="125" spans="5:25" s="135" customFormat="1">
      <c r="E125" s="136"/>
      <c r="F125" s="137"/>
      <c r="G125" s="137"/>
      <c r="K125" s="138"/>
      <c r="Q125" s="138"/>
      <c r="Y125" s="138"/>
    </row>
    <row r="126" spans="5:25" s="135" customFormat="1">
      <c r="E126" s="136"/>
      <c r="F126" s="137"/>
      <c r="G126" s="137"/>
      <c r="K126" s="138"/>
      <c r="Q126" s="138"/>
      <c r="Y126" s="138"/>
    </row>
    <row r="127" spans="5:25" s="135" customFormat="1">
      <c r="E127" s="136"/>
      <c r="F127" s="137"/>
      <c r="G127" s="137"/>
      <c r="K127" s="138"/>
      <c r="Q127" s="138"/>
      <c r="Y127" s="138"/>
    </row>
    <row r="128" spans="5:25" s="135" customFormat="1">
      <c r="E128" s="136"/>
      <c r="F128" s="137"/>
      <c r="G128" s="137"/>
      <c r="K128" s="138"/>
      <c r="Q128" s="138"/>
      <c r="Y128" s="138"/>
    </row>
    <row r="129" spans="5:25" s="135" customFormat="1">
      <c r="E129" s="136"/>
      <c r="F129" s="137"/>
      <c r="G129" s="137"/>
      <c r="K129" s="138"/>
      <c r="Q129" s="138"/>
      <c r="Y129" s="138"/>
    </row>
    <row r="130" spans="5:25" s="135" customFormat="1">
      <c r="E130" s="136"/>
      <c r="F130" s="137"/>
      <c r="G130" s="137"/>
      <c r="K130" s="138"/>
      <c r="Q130" s="138"/>
      <c r="Y130" s="138"/>
    </row>
    <row r="131" spans="5:25" s="135" customFormat="1">
      <c r="E131" s="136"/>
      <c r="F131" s="137"/>
      <c r="G131" s="137"/>
      <c r="K131" s="138"/>
      <c r="Q131" s="138"/>
      <c r="Y131" s="138"/>
    </row>
    <row r="132" spans="5:25" s="135" customFormat="1">
      <c r="E132" s="136"/>
      <c r="F132" s="137"/>
      <c r="G132" s="137"/>
      <c r="K132" s="138"/>
      <c r="Q132" s="138"/>
      <c r="Y132" s="138"/>
    </row>
    <row r="133" spans="5:25" s="135" customFormat="1">
      <c r="E133" s="136"/>
      <c r="F133" s="137"/>
      <c r="G133" s="137"/>
      <c r="K133" s="138"/>
      <c r="Q133" s="138"/>
      <c r="Y133" s="138"/>
    </row>
    <row r="134" spans="5:25" s="135" customFormat="1">
      <c r="E134" s="136"/>
      <c r="F134" s="137"/>
      <c r="G134" s="137"/>
      <c r="K134" s="138"/>
      <c r="Q134" s="138"/>
      <c r="Y134" s="138"/>
    </row>
    <row r="135" spans="5:25" s="135" customFormat="1">
      <c r="E135" s="136"/>
      <c r="F135" s="137"/>
      <c r="G135" s="137"/>
      <c r="K135" s="138"/>
      <c r="Q135" s="138"/>
      <c r="Y135" s="138"/>
    </row>
    <row r="136" spans="5:25" s="135" customFormat="1">
      <c r="E136" s="136"/>
      <c r="F136" s="137"/>
      <c r="G136" s="137"/>
      <c r="K136" s="138"/>
      <c r="Q136" s="138"/>
      <c r="Y136" s="138"/>
    </row>
    <row r="137" spans="5:25" s="135" customFormat="1">
      <c r="E137" s="136"/>
      <c r="F137" s="137"/>
      <c r="G137" s="137"/>
      <c r="K137" s="138"/>
      <c r="Q137" s="138"/>
      <c r="Y137" s="138"/>
    </row>
    <row r="138" spans="5:25" s="135" customFormat="1">
      <c r="E138" s="136"/>
      <c r="F138" s="137"/>
      <c r="G138" s="137"/>
      <c r="K138" s="138"/>
      <c r="Q138" s="138"/>
      <c r="Y138" s="138"/>
    </row>
    <row r="139" spans="5:25" s="135" customFormat="1">
      <c r="E139" s="136"/>
      <c r="F139" s="137"/>
      <c r="G139" s="137"/>
      <c r="K139" s="138"/>
      <c r="Q139" s="138"/>
      <c r="Y139" s="138"/>
    </row>
    <row r="140" spans="5:25" s="135" customFormat="1">
      <c r="E140" s="136"/>
      <c r="F140" s="137"/>
      <c r="G140" s="137"/>
      <c r="K140" s="138"/>
      <c r="Q140" s="138"/>
      <c r="Y140" s="138"/>
    </row>
    <row r="141" spans="5:25" s="135" customFormat="1">
      <c r="E141" s="136"/>
      <c r="F141" s="137"/>
      <c r="G141" s="137"/>
      <c r="K141" s="138"/>
      <c r="Q141" s="138"/>
      <c r="Y141" s="138"/>
    </row>
    <row r="142" spans="5:25" s="135" customFormat="1">
      <c r="E142" s="136"/>
      <c r="F142" s="137"/>
      <c r="G142" s="137"/>
      <c r="K142" s="138"/>
      <c r="Q142" s="138"/>
      <c r="Y142" s="138"/>
    </row>
    <row r="143" spans="5:25" s="135" customFormat="1">
      <c r="E143" s="136"/>
      <c r="F143" s="137"/>
      <c r="G143" s="137"/>
      <c r="K143" s="138"/>
      <c r="Q143" s="138"/>
      <c r="Y143" s="138"/>
    </row>
    <row r="144" spans="5:25" s="135" customFormat="1">
      <c r="E144" s="136"/>
      <c r="F144" s="137"/>
      <c r="G144" s="137"/>
      <c r="K144" s="138"/>
      <c r="Q144" s="138"/>
      <c r="Y144" s="138"/>
    </row>
    <row r="145" spans="5:25" s="135" customFormat="1">
      <c r="E145" s="136"/>
      <c r="F145" s="137"/>
      <c r="G145" s="137"/>
      <c r="K145" s="138"/>
      <c r="Q145" s="138"/>
      <c r="Y145" s="138"/>
    </row>
    <row r="146" spans="5:25" s="135" customFormat="1">
      <c r="E146" s="136"/>
      <c r="F146" s="137"/>
      <c r="G146" s="137"/>
      <c r="K146" s="138"/>
      <c r="Q146" s="138"/>
      <c r="Y146" s="138"/>
    </row>
    <row r="147" spans="5:25" s="135" customFormat="1">
      <c r="E147" s="136"/>
      <c r="F147" s="137"/>
      <c r="G147" s="137"/>
      <c r="K147" s="138"/>
      <c r="Q147" s="138"/>
      <c r="Y147" s="138"/>
    </row>
    <row r="148" spans="5:25" s="135" customFormat="1">
      <c r="E148" s="136"/>
      <c r="F148" s="137"/>
      <c r="G148" s="137"/>
      <c r="K148" s="138"/>
      <c r="Q148" s="138"/>
      <c r="Y148" s="138"/>
    </row>
    <row r="149" spans="5:25" s="135" customFormat="1">
      <c r="E149" s="136"/>
      <c r="F149" s="137"/>
      <c r="G149" s="137"/>
      <c r="K149" s="138"/>
      <c r="Q149" s="138"/>
      <c r="Y149" s="138"/>
    </row>
    <row r="150" spans="5:25" s="135" customFormat="1">
      <c r="E150" s="136"/>
      <c r="F150" s="137"/>
      <c r="G150" s="137"/>
      <c r="K150" s="138"/>
      <c r="Q150" s="138"/>
      <c r="Y150" s="138"/>
    </row>
    <row r="151" spans="5:25" s="135" customFormat="1">
      <c r="E151" s="136"/>
      <c r="F151" s="137"/>
      <c r="G151" s="137"/>
      <c r="K151" s="138"/>
      <c r="Q151" s="138"/>
      <c r="Y151" s="138"/>
    </row>
    <row r="152" spans="5:25" s="135" customFormat="1">
      <c r="E152" s="136"/>
      <c r="F152" s="137"/>
      <c r="G152" s="137"/>
      <c r="K152" s="138"/>
      <c r="Q152" s="138"/>
      <c r="Y152" s="138"/>
    </row>
    <row r="153" spans="5:25" s="135" customFormat="1">
      <c r="E153" s="136"/>
      <c r="F153" s="137"/>
      <c r="G153" s="137"/>
      <c r="K153" s="138"/>
      <c r="Q153" s="138"/>
      <c r="Y153" s="138"/>
    </row>
    <row r="154" spans="5:25" s="135" customFormat="1">
      <c r="E154" s="136"/>
      <c r="F154" s="137"/>
      <c r="G154" s="137"/>
      <c r="K154" s="138"/>
      <c r="Q154" s="138"/>
      <c r="Y154" s="138"/>
    </row>
    <row r="155" spans="5:25" s="135" customFormat="1">
      <c r="E155" s="136"/>
      <c r="F155" s="137"/>
      <c r="G155" s="137"/>
      <c r="K155" s="138"/>
      <c r="Q155" s="138"/>
      <c r="Y155" s="138"/>
    </row>
    <row r="156" spans="5:25" s="135" customFormat="1">
      <c r="E156" s="136"/>
      <c r="F156" s="137"/>
      <c r="G156" s="137"/>
      <c r="K156" s="138"/>
      <c r="Q156" s="138"/>
      <c r="Y156" s="138"/>
    </row>
    <row r="157" spans="5:25" s="135" customFormat="1">
      <c r="E157" s="136"/>
      <c r="F157" s="137"/>
      <c r="G157" s="137"/>
      <c r="K157" s="138"/>
      <c r="Q157" s="138"/>
      <c r="Y157" s="138"/>
    </row>
    <row r="158" spans="5:25" s="135" customFormat="1">
      <c r="E158" s="136"/>
      <c r="F158" s="137"/>
      <c r="G158" s="137"/>
      <c r="K158" s="138"/>
      <c r="Q158" s="138"/>
      <c r="Y158" s="138"/>
    </row>
    <row r="159" spans="5:25" s="135" customFormat="1">
      <c r="E159" s="136"/>
      <c r="F159" s="137"/>
      <c r="G159" s="137"/>
      <c r="K159" s="138"/>
      <c r="Q159" s="138"/>
      <c r="Y159" s="138"/>
    </row>
    <row r="160" spans="5:25" s="135" customFormat="1">
      <c r="E160" s="136"/>
      <c r="F160" s="137"/>
      <c r="G160" s="137"/>
      <c r="K160" s="138"/>
      <c r="Q160" s="138"/>
      <c r="Y160" s="138"/>
    </row>
    <row r="161" spans="5:25" s="135" customFormat="1">
      <c r="E161" s="136"/>
      <c r="F161" s="137"/>
      <c r="G161" s="137"/>
      <c r="K161" s="138"/>
      <c r="Q161" s="138"/>
      <c r="Y161" s="138"/>
    </row>
    <row r="162" spans="5:25" s="135" customFormat="1">
      <c r="E162" s="136"/>
      <c r="F162" s="137"/>
      <c r="G162" s="137"/>
      <c r="K162" s="138"/>
      <c r="Q162" s="138"/>
      <c r="Y162" s="138"/>
    </row>
    <row r="163" spans="5:25" s="135" customFormat="1">
      <c r="E163" s="136"/>
      <c r="F163" s="137"/>
      <c r="G163" s="137"/>
      <c r="K163" s="138"/>
      <c r="Q163" s="138"/>
      <c r="Y163" s="138"/>
    </row>
    <row r="164" spans="5:25" s="135" customFormat="1">
      <c r="E164" s="136"/>
      <c r="F164" s="137"/>
      <c r="G164" s="137"/>
      <c r="K164" s="138"/>
      <c r="Q164" s="138"/>
      <c r="Y164" s="138"/>
    </row>
    <row r="165" spans="5:25" s="135" customFormat="1">
      <c r="E165" s="136"/>
      <c r="F165" s="137"/>
      <c r="G165" s="137"/>
      <c r="K165" s="138"/>
      <c r="Q165" s="138"/>
      <c r="Y165" s="138"/>
    </row>
    <row r="166" spans="5:25" s="135" customFormat="1">
      <c r="E166" s="136"/>
      <c r="F166" s="137"/>
      <c r="G166" s="137"/>
      <c r="K166" s="138"/>
      <c r="Q166" s="138"/>
      <c r="Y166" s="138"/>
    </row>
    <row r="167" spans="5:25" s="135" customFormat="1">
      <c r="E167" s="136"/>
      <c r="F167" s="137"/>
      <c r="G167" s="137"/>
      <c r="K167" s="138"/>
      <c r="Q167" s="138"/>
      <c r="Y167" s="138"/>
    </row>
    <row r="168" spans="5:25" s="135" customFormat="1">
      <c r="E168" s="136"/>
      <c r="F168" s="137"/>
      <c r="G168" s="137"/>
      <c r="K168" s="138"/>
      <c r="Q168" s="138"/>
      <c r="Y168" s="138"/>
    </row>
    <row r="169" spans="5:25" s="135" customFormat="1">
      <c r="E169" s="136"/>
      <c r="F169" s="137"/>
      <c r="G169" s="137"/>
      <c r="K169" s="138"/>
      <c r="Q169" s="138"/>
      <c r="Y169" s="138"/>
    </row>
    <row r="170" spans="5:25" s="135" customFormat="1">
      <c r="E170" s="136"/>
      <c r="F170" s="137"/>
      <c r="G170" s="137"/>
      <c r="K170" s="138"/>
      <c r="Q170" s="138"/>
      <c r="Y170" s="138"/>
    </row>
    <row r="171" spans="5:25" s="135" customFormat="1">
      <c r="E171" s="136"/>
      <c r="F171" s="137"/>
      <c r="G171" s="137"/>
      <c r="K171" s="138"/>
      <c r="Q171" s="138"/>
      <c r="Y171" s="138"/>
    </row>
    <row r="172" spans="5:25" s="135" customFormat="1">
      <c r="E172" s="136"/>
      <c r="F172" s="137"/>
      <c r="G172" s="137"/>
      <c r="K172" s="138"/>
      <c r="Q172" s="138"/>
      <c r="Y172" s="138"/>
    </row>
    <row r="173" spans="5:25" s="135" customFormat="1">
      <c r="E173" s="136"/>
      <c r="F173" s="137"/>
      <c r="G173" s="137"/>
      <c r="K173" s="138"/>
      <c r="Q173" s="138"/>
      <c r="Y173" s="138"/>
    </row>
    <row r="174" spans="5:25" s="135" customFormat="1">
      <c r="E174" s="136"/>
      <c r="F174" s="137"/>
      <c r="G174" s="137"/>
      <c r="K174" s="138"/>
      <c r="Q174" s="138"/>
      <c r="Y174" s="138"/>
    </row>
    <row r="175" spans="5:25" s="135" customFormat="1">
      <c r="E175" s="136"/>
      <c r="F175" s="137"/>
      <c r="G175" s="137"/>
      <c r="K175" s="138"/>
      <c r="Q175" s="138"/>
      <c r="Y175" s="138"/>
    </row>
    <row r="176" spans="5:25" s="135" customFormat="1">
      <c r="E176" s="136"/>
      <c r="F176" s="137"/>
      <c r="G176" s="137"/>
      <c r="K176" s="138"/>
      <c r="Q176" s="138"/>
      <c r="Y176" s="138"/>
    </row>
    <row r="177" spans="5:25" s="135" customFormat="1">
      <c r="E177" s="136"/>
      <c r="F177" s="137"/>
      <c r="G177" s="137"/>
      <c r="K177" s="138"/>
      <c r="Q177" s="138"/>
      <c r="Y177" s="138"/>
    </row>
    <row r="178" spans="5:25" s="135" customFormat="1">
      <c r="E178" s="136"/>
      <c r="F178" s="137"/>
      <c r="G178" s="137"/>
      <c r="K178" s="138"/>
      <c r="Q178" s="138"/>
      <c r="Y178" s="138"/>
    </row>
    <row r="179" spans="5:25" s="135" customFormat="1">
      <c r="E179" s="136"/>
      <c r="F179" s="137"/>
      <c r="G179" s="137"/>
      <c r="K179" s="138"/>
      <c r="Q179" s="138"/>
      <c r="Y179" s="138"/>
    </row>
    <row r="180" spans="5:25" s="135" customFormat="1">
      <c r="E180" s="136"/>
      <c r="F180" s="137"/>
      <c r="G180" s="137"/>
      <c r="K180" s="138"/>
      <c r="Q180" s="138"/>
      <c r="Y180" s="138"/>
    </row>
    <row r="181" spans="5:25" s="135" customFormat="1">
      <c r="E181" s="136"/>
      <c r="F181" s="137"/>
      <c r="G181" s="137"/>
      <c r="K181" s="138"/>
      <c r="Q181" s="138"/>
      <c r="Y181" s="138"/>
    </row>
    <row r="182" spans="5:25" s="135" customFormat="1">
      <c r="E182" s="136"/>
      <c r="F182" s="137"/>
      <c r="G182" s="137"/>
      <c r="K182" s="138"/>
      <c r="Q182" s="138"/>
      <c r="Y182" s="138"/>
    </row>
    <row r="183" spans="5:25" s="135" customFormat="1">
      <c r="E183" s="136"/>
      <c r="F183" s="137"/>
      <c r="G183" s="137"/>
      <c r="K183" s="138"/>
      <c r="Q183" s="138"/>
      <c r="Y183" s="138"/>
    </row>
    <row r="184" spans="5:25" s="135" customFormat="1">
      <c r="E184" s="136"/>
      <c r="F184" s="137"/>
      <c r="G184" s="137"/>
      <c r="K184" s="138"/>
      <c r="Q184" s="138"/>
      <c r="Y184" s="138"/>
    </row>
    <row r="185" spans="5:25" s="135" customFormat="1">
      <c r="E185" s="136"/>
      <c r="F185" s="137"/>
      <c r="G185" s="137"/>
      <c r="K185" s="138"/>
      <c r="Q185" s="138"/>
      <c r="Y185" s="138"/>
    </row>
    <row r="186" spans="5:25" s="135" customFormat="1">
      <c r="E186" s="136"/>
      <c r="F186" s="137"/>
      <c r="G186" s="137"/>
      <c r="K186" s="138"/>
      <c r="Q186" s="138"/>
      <c r="Y186" s="138"/>
    </row>
    <row r="187" spans="5:25" s="135" customFormat="1">
      <c r="E187" s="136"/>
      <c r="F187" s="137"/>
      <c r="G187" s="137"/>
      <c r="K187" s="138"/>
      <c r="Q187" s="138"/>
      <c r="Y187" s="138"/>
    </row>
    <row r="188" spans="5:25" s="135" customFormat="1">
      <c r="E188" s="136"/>
      <c r="F188" s="137"/>
      <c r="G188" s="137"/>
      <c r="K188" s="138"/>
      <c r="Q188" s="138"/>
      <c r="Y188" s="138"/>
    </row>
    <row r="189" spans="5:25" s="135" customFormat="1">
      <c r="E189" s="136"/>
      <c r="F189" s="137"/>
      <c r="G189" s="137"/>
      <c r="K189" s="138"/>
      <c r="Q189" s="138"/>
      <c r="Y189" s="138"/>
    </row>
    <row r="190" spans="5:25" s="135" customFormat="1">
      <c r="E190" s="136"/>
      <c r="F190" s="137"/>
      <c r="G190" s="137"/>
      <c r="K190" s="138"/>
      <c r="Q190" s="138"/>
      <c r="Y190" s="138"/>
    </row>
    <row r="191" spans="5:25" s="135" customFormat="1">
      <c r="E191" s="136"/>
      <c r="F191" s="137"/>
      <c r="G191" s="137"/>
      <c r="K191" s="138"/>
      <c r="Q191" s="138"/>
      <c r="Y191" s="138"/>
    </row>
    <row r="192" spans="5:25" s="135" customFormat="1">
      <c r="E192" s="136"/>
      <c r="F192" s="137"/>
      <c r="G192" s="137"/>
      <c r="K192" s="138"/>
      <c r="Q192" s="138"/>
      <c r="Y192" s="138"/>
    </row>
    <row r="193" spans="5:25" s="135" customFormat="1">
      <c r="E193" s="136"/>
      <c r="F193" s="137"/>
      <c r="G193" s="137"/>
      <c r="K193" s="138"/>
      <c r="Q193" s="138"/>
      <c r="Y193" s="138"/>
    </row>
    <row r="194" spans="5:25" s="135" customFormat="1">
      <c r="E194" s="136"/>
      <c r="F194" s="137"/>
      <c r="G194" s="137"/>
      <c r="K194" s="138"/>
      <c r="Q194" s="138"/>
      <c r="Y194" s="138"/>
    </row>
    <row r="195" spans="5:25" s="135" customFormat="1">
      <c r="E195" s="136"/>
      <c r="F195" s="137"/>
      <c r="G195" s="137"/>
      <c r="K195" s="138"/>
      <c r="Q195" s="138"/>
      <c r="Y195" s="138"/>
    </row>
    <row r="196" spans="5:25" s="135" customFormat="1">
      <c r="E196" s="136"/>
      <c r="F196" s="137"/>
      <c r="G196" s="137"/>
      <c r="K196" s="138"/>
      <c r="Q196" s="138"/>
      <c r="Y196" s="138"/>
    </row>
    <row r="197" spans="5:25" s="135" customFormat="1">
      <c r="E197" s="136"/>
      <c r="F197" s="137"/>
      <c r="G197" s="137"/>
      <c r="K197" s="138"/>
      <c r="Q197" s="138"/>
      <c r="Y197" s="138"/>
    </row>
    <row r="198" spans="5:25" s="135" customFormat="1">
      <c r="E198" s="136"/>
      <c r="F198" s="137"/>
      <c r="G198" s="137"/>
      <c r="K198" s="138"/>
      <c r="Q198" s="138"/>
      <c r="Y198" s="138"/>
    </row>
    <row r="199" spans="5:25" s="135" customFormat="1">
      <c r="E199" s="136"/>
      <c r="F199" s="137"/>
      <c r="G199" s="137"/>
      <c r="K199" s="138"/>
      <c r="Q199" s="138"/>
      <c r="Y199" s="138"/>
    </row>
    <row r="200" spans="5:25" s="135" customFormat="1">
      <c r="E200" s="136"/>
      <c r="F200" s="137"/>
      <c r="G200" s="137"/>
      <c r="K200" s="138"/>
      <c r="Q200" s="138"/>
      <c r="Y200" s="138"/>
    </row>
    <row r="201" spans="5:25" s="135" customFormat="1">
      <c r="E201" s="136"/>
      <c r="F201" s="137"/>
      <c r="G201" s="137"/>
      <c r="K201" s="138"/>
      <c r="Q201" s="138"/>
      <c r="Y201" s="138"/>
    </row>
    <row r="202" spans="5:25" s="135" customFormat="1">
      <c r="E202" s="136"/>
      <c r="F202" s="137"/>
      <c r="G202" s="137"/>
      <c r="K202" s="138"/>
      <c r="Q202" s="138"/>
      <c r="Y202" s="138"/>
    </row>
    <row r="203" spans="5:25" s="135" customFormat="1">
      <c r="E203" s="136"/>
      <c r="F203" s="137"/>
      <c r="G203" s="137"/>
      <c r="K203" s="138"/>
      <c r="Q203" s="138"/>
      <c r="Y203" s="138"/>
    </row>
    <row r="204" spans="5:25" s="135" customFormat="1">
      <c r="E204" s="136"/>
      <c r="F204" s="137"/>
      <c r="G204" s="137"/>
      <c r="K204" s="138"/>
      <c r="Q204" s="138"/>
      <c r="Y204" s="138"/>
    </row>
    <row r="205" spans="5:25" s="135" customFormat="1">
      <c r="E205" s="136"/>
      <c r="F205" s="137"/>
      <c r="G205" s="137"/>
      <c r="K205" s="138"/>
      <c r="Q205" s="138"/>
      <c r="Y205" s="138"/>
    </row>
    <row r="206" spans="5:25" s="135" customFormat="1">
      <c r="E206" s="136"/>
      <c r="F206" s="137"/>
      <c r="G206" s="137"/>
      <c r="K206" s="138"/>
      <c r="Q206" s="138"/>
      <c r="Y206" s="138"/>
    </row>
    <row r="207" spans="5:25" s="135" customFormat="1">
      <c r="E207" s="136"/>
      <c r="F207" s="137"/>
      <c r="G207" s="137"/>
      <c r="K207" s="138"/>
      <c r="Q207" s="138"/>
      <c r="Y207" s="138"/>
    </row>
    <row r="208" spans="5:25" s="135" customFormat="1">
      <c r="E208" s="136"/>
      <c r="F208" s="137"/>
      <c r="G208" s="137"/>
      <c r="K208" s="138"/>
      <c r="Q208" s="138"/>
      <c r="Y208" s="138"/>
    </row>
    <row r="209" spans="5:25" s="135" customFormat="1">
      <c r="E209" s="136"/>
      <c r="F209" s="137"/>
      <c r="G209" s="137"/>
      <c r="K209" s="138"/>
      <c r="Q209" s="138"/>
      <c r="Y209" s="138"/>
    </row>
    <row r="210" spans="5:25" s="135" customFormat="1">
      <c r="E210" s="136"/>
      <c r="F210" s="137"/>
      <c r="G210" s="137"/>
      <c r="K210" s="138"/>
      <c r="Q210" s="138"/>
      <c r="Y210" s="138"/>
    </row>
    <row r="211" spans="5:25" s="135" customFormat="1">
      <c r="E211" s="136"/>
      <c r="F211" s="137"/>
      <c r="G211" s="137"/>
      <c r="K211" s="138"/>
      <c r="Q211" s="138"/>
      <c r="Y211" s="138"/>
    </row>
    <row r="212" spans="5:25" s="135" customFormat="1">
      <c r="E212" s="136"/>
      <c r="F212" s="137"/>
      <c r="G212" s="137"/>
      <c r="K212" s="138"/>
      <c r="Q212" s="138"/>
      <c r="Y212" s="138"/>
    </row>
    <row r="213" spans="5:25" s="135" customFormat="1">
      <c r="E213" s="136"/>
      <c r="F213" s="137"/>
      <c r="G213" s="137"/>
      <c r="K213" s="138"/>
      <c r="Q213" s="138"/>
      <c r="Y213" s="138"/>
    </row>
    <row r="214" spans="5:25" s="135" customFormat="1">
      <c r="E214" s="136"/>
      <c r="F214" s="137"/>
      <c r="G214" s="137"/>
      <c r="K214" s="138"/>
      <c r="Q214" s="138"/>
      <c r="Y214" s="138"/>
    </row>
    <row r="215" spans="5:25" s="135" customFormat="1">
      <c r="E215" s="136"/>
      <c r="F215" s="137"/>
      <c r="G215" s="137"/>
      <c r="K215" s="138"/>
      <c r="Q215" s="138"/>
      <c r="Y215" s="138"/>
    </row>
    <row r="216" spans="5:25" s="135" customFormat="1">
      <c r="E216" s="136"/>
      <c r="F216" s="137"/>
      <c r="G216" s="137"/>
      <c r="K216" s="138"/>
      <c r="Q216" s="138"/>
      <c r="Y216" s="138"/>
    </row>
    <row r="217" spans="5:25" s="135" customFormat="1">
      <c r="E217" s="136"/>
      <c r="F217" s="137"/>
      <c r="G217" s="137"/>
      <c r="K217" s="138"/>
      <c r="Q217" s="138"/>
      <c r="Y217" s="138"/>
    </row>
    <row r="218" spans="5:25" s="135" customFormat="1">
      <c r="E218" s="136"/>
      <c r="F218" s="137"/>
      <c r="G218" s="137"/>
      <c r="K218" s="138"/>
      <c r="Q218" s="138"/>
      <c r="Y218" s="138"/>
    </row>
    <row r="219" spans="5:25" s="135" customFormat="1">
      <c r="E219" s="136"/>
      <c r="F219" s="137"/>
      <c r="G219" s="137"/>
      <c r="K219" s="138"/>
      <c r="Q219" s="138"/>
      <c r="Y219" s="138"/>
    </row>
    <row r="220" spans="5:25" s="135" customFormat="1">
      <c r="E220" s="136"/>
      <c r="F220" s="137"/>
      <c r="G220" s="137"/>
      <c r="K220" s="138"/>
      <c r="Q220" s="138"/>
      <c r="Y220" s="138"/>
    </row>
    <row r="221" spans="5:25" s="135" customFormat="1">
      <c r="E221" s="136"/>
      <c r="F221" s="137"/>
      <c r="G221" s="137"/>
      <c r="K221" s="138"/>
      <c r="Q221" s="138"/>
      <c r="Y221" s="138"/>
    </row>
    <row r="222" spans="5:25" s="135" customFormat="1">
      <c r="E222" s="136"/>
      <c r="F222" s="137"/>
      <c r="G222" s="137"/>
      <c r="K222" s="138"/>
      <c r="Q222" s="138"/>
      <c r="Y222" s="138"/>
    </row>
    <row r="223" spans="5:25" s="135" customFormat="1">
      <c r="E223" s="136"/>
      <c r="F223" s="137"/>
      <c r="G223" s="137"/>
      <c r="K223" s="138"/>
      <c r="Q223" s="138"/>
      <c r="Y223" s="138"/>
    </row>
    <row r="224" spans="5:25" s="135" customFormat="1">
      <c r="E224" s="136"/>
      <c r="F224" s="137"/>
      <c r="G224" s="137"/>
      <c r="K224" s="138"/>
      <c r="Q224" s="138"/>
      <c r="Y224" s="138"/>
    </row>
    <row r="225" spans="5:25" s="135" customFormat="1">
      <c r="E225" s="136"/>
      <c r="F225" s="137"/>
      <c r="G225" s="137"/>
      <c r="K225" s="138"/>
      <c r="Q225" s="138"/>
      <c r="Y225" s="138"/>
    </row>
    <row r="226" spans="5:25" s="135" customFormat="1">
      <c r="E226" s="136"/>
      <c r="F226" s="137"/>
      <c r="G226" s="137"/>
      <c r="K226" s="138"/>
      <c r="Q226" s="138"/>
      <c r="Y226" s="138"/>
    </row>
    <row r="227" spans="5:25" s="135" customFormat="1">
      <c r="E227" s="136"/>
      <c r="F227" s="137"/>
      <c r="G227" s="137"/>
      <c r="K227" s="138"/>
      <c r="Q227" s="138"/>
      <c r="Y227" s="138"/>
    </row>
    <row r="228" spans="5:25" s="135" customFormat="1">
      <c r="E228" s="136"/>
      <c r="F228" s="137"/>
      <c r="G228" s="137"/>
      <c r="K228" s="138"/>
      <c r="Q228" s="138"/>
      <c r="Y228" s="138"/>
    </row>
    <row r="229" spans="5:25" s="135" customFormat="1">
      <c r="E229" s="136"/>
      <c r="F229" s="137"/>
      <c r="G229" s="137"/>
      <c r="K229" s="138"/>
      <c r="Q229" s="138"/>
      <c r="Y229" s="138"/>
    </row>
    <row r="230" spans="5:25" s="135" customFormat="1">
      <c r="E230" s="136"/>
      <c r="F230" s="137"/>
      <c r="G230" s="137"/>
      <c r="K230" s="138"/>
      <c r="Q230" s="138"/>
      <c r="Y230" s="138"/>
    </row>
    <row r="231" spans="5:25" s="135" customFormat="1">
      <c r="E231" s="136"/>
      <c r="F231" s="137"/>
      <c r="G231" s="137"/>
      <c r="K231" s="138"/>
      <c r="Q231" s="138"/>
      <c r="Y231" s="138"/>
    </row>
    <row r="232" spans="5:25" s="135" customFormat="1">
      <c r="E232" s="136"/>
      <c r="F232" s="137"/>
      <c r="G232" s="137"/>
      <c r="K232" s="138"/>
      <c r="Q232" s="138"/>
      <c r="Y232" s="138"/>
    </row>
    <row r="233" spans="5:25" s="135" customFormat="1">
      <c r="E233" s="136"/>
      <c r="F233" s="137"/>
      <c r="G233" s="137"/>
      <c r="K233" s="138"/>
      <c r="Q233" s="138"/>
      <c r="Y233" s="138"/>
    </row>
    <row r="234" spans="5:25" s="135" customFormat="1">
      <c r="E234" s="136"/>
      <c r="F234" s="137"/>
      <c r="G234" s="137"/>
      <c r="K234" s="138"/>
      <c r="Q234" s="138"/>
      <c r="Y234" s="138"/>
    </row>
    <row r="235" spans="5:25" s="135" customFormat="1">
      <c r="E235" s="136"/>
      <c r="F235" s="137"/>
      <c r="G235" s="137"/>
      <c r="K235" s="138"/>
      <c r="Q235" s="138"/>
      <c r="Y235" s="138"/>
    </row>
    <row r="236" spans="5:25" s="135" customFormat="1">
      <c r="E236" s="136"/>
      <c r="F236" s="137"/>
      <c r="G236" s="137"/>
      <c r="K236" s="138"/>
      <c r="Q236" s="138"/>
      <c r="Y236" s="138"/>
    </row>
    <row r="237" spans="5:25" s="135" customFormat="1">
      <c r="E237" s="136"/>
      <c r="F237" s="137"/>
      <c r="G237" s="137"/>
      <c r="K237" s="138"/>
      <c r="Q237" s="138"/>
      <c r="Y237" s="138"/>
    </row>
    <row r="238" spans="5:25" s="135" customFormat="1">
      <c r="E238" s="136"/>
      <c r="F238" s="137"/>
      <c r="G238" s="137"/>
      <c r="K238" s="138"/>
      <c r="Q238" s="138"/>
      <c r="Y238" s="138"/>
    </row>
    <row r="239" spans="5:25" s="135" customFormat="1">
      <c r="E239" s="136"/>
      <c r="F239" s="137"/>
      <c r="G239" s="137"/>
      <c r="K239" s="138"/>
      <c r="Q239" s="138"/>
      <c r="Y239" s="138"/>
    </row>
    <row r="240" spans="5:25" s="135" customFormat="1">
      <c r="E240" s="136"/>
      <c r="F240" s="137"/>
      <c r="G240" s="137"/>
      <c r="K240" s="138"/>
      <c r="Q240" s="138"/>
      <c r="Y240" s="138"/>
    </row>
    <row r="241" spans="5:25" s="135" customFormat="1">
      <c r="E241" s="136"/>
      <c r="F241" s="137"/>
      <c r="G241" s="137"/>
      <c r="K241" s="138"/>
      <c r="Q241" s="138"/>
      <c r="Y241" s="138"/>
    </row>
    <row r="242" spans="5:25" s="135" customFormat="1">
      <c r="E242" s="136"/>
      <c r="F242" s="137"/>
      <c r="G242" s="137"/>
      <c r="K242" s="138"/>
      <c r="Q242" s="138"/>
      <c r="Y242" s="138"/>
    </row>
    <row r="243" spans="5:25" s="135" customFormat="1">
      <c r="E243" s="136"/>
      <c r="F243" s="137"/>
      <c r="G243" s="137"/>
      <c r="K243" s="138"/>
      <c r="Q243" s="138"/>
      <c r="Y243" s="138"/>
    </row>
    <row r="244" spans="5:25" s="135" customFormat="1">
      <c r="E244" s="136"/>
      <c r="F244" s="137"/>
      <c r="G244" s="137"/>
      <c r="K244" s="138"/>
      <c r="Q244" s="138"/>
      <c r="Y244" s="138"/>
    </row>
    <row r="245" spans="5:25" s="135" customFormat="1">
      <c r="E245" s="136"/>
      <c r="F245" s="137"/>
      <c r="G245" s="137"/>
      <c r="K245" s="138"/>
      <c r="Q245" s="138"/>
      <c r="Y245" s="138"/>
    </row>
    <row r="246" spans="5:25" s="135" customFormat="1">
      <c r="E246" s="136"/>
      <c r="F246" s="137"/>
      <c r="G246" s="137"/>
      <c r="K246" s="138"/>
      <c r="Q246" s="138"/>
      <c r="Y246" s="138"/>
    </row>
    <row r="247" spans="5:25" s="135" customFormat="1">
      <c r="E247" s="136"/>
      <c r="F247" s="137"/>
      <c r="G247" s="137"/>
      <c r="K247" s="138"/>
      <c r="Q247" s="138"/>
      <c r="Y247" s="138"/>
    </row>
    <row r="248" spans="5:25" s="135" customFormat="1">
      <c r="E248" s="136"/>
      <c r="F248" s="137"/>
      <c r="G248" s="137"/>
      <c r="K248" s="138"/>
      <c r="Q248" s="138"/>
      <c r="Y248" s="138"/>
    </row>
    <row r="249" spans="5:25" s="135" customFormat="1">
      <c r="E249" s="136"/>
      <c r="F249" s="137"/>
      <c r="G249" s="137"/>
      <c r="K249" s="138"/>
      <c r="Q249" s="138"/>
      <c r="Y249" s="138"/>
    </row>
    <row r="250" spans="5:25" s="135" customFormat="1">
      <c r="E250" s="136"/>
      <c r="F250" s="137"/>
      <c r="G250" s="137"/>
      <c r="K250" s="138"/>
      <c r="Q250" s="138"/>
      <c r="Y250" s="138"/>
    </row>
    <row r="251" spans="5:25" s="135" customFormat="1">
      <c r="E251" s="136"/>
      <c r="F251" s="137"/>
      <c r="G251" s="137"/>
      <c r="K251" s="138"/>
      <c r="Q251" s="138"/>
      <c r="Y251" s="138"/>
    </row>
    <row r="252" spans="5:25" s="135" customFormat="1">
      <c r="E252" s="136"/>
      <c r="F252" s="137"/>
      <c r="G252" s="137"/>
      <c r="K252" s="138"/>
      <c r="Q252" s="138"/>
      <c r="Y252" s="138"/>
    </row>
    <row r="253" spans="5:25" s="135" customFormat="1">
      <c r="E253" s="136"/>
      <c r="F253" s="137"/>
      <c r="G253" s="137"/>
      <c r="K253" s="138"/>
      <c r="Q253" s="138"/>
      <c r="Y253" s="138"/>
    </row>
    <row r="254" spans="5:25" s="135" customFormat="1">
      <c r="E254" s="136"/>
      <c r="F254" s="137"/>
      <c r="G254" s="137"/>
      <c r="K254" s="138"/>
      <c r="Q254" s="138"/>
      <c r="Y254" s="138"/>
    </row>
    <row r="255" spans="5:25" s="135" customFormat="1">
      <c r="E255" s="136"/>
      <c r="F255" s="137"/>
      <c r="G255" s="137"/>
      <c r="K255" s="138"/>
      <c r="Q255" s="138"/>
      <c r="Y255" s="138"/>
    </row>
    <row r="256" spans="5:25" s="135" customFormat="1">
      <c r="E256" s="136"/>
      <c r="F256" s="137"/>
      <c r="G256" s="137"/>
      <c r="K256" s="138"/>
      <c r="Q256" s="138"/>
      <c r="Y256" s="138"/>
    </row>
    <row r="257" spans="5:25" s="135" customFormat="1">
      <c r="E257" s="136"/>
      <c r="F257" s="137"/>
      <c r="G257" s="137"/>
      <c r="K257" s="138"/>
      <c r="Q257" s="138"/>
      <c r="Y257" s="138"/>
    </row>
    <row r="258" spans="5:25" s="135" customFormat="1">
      <c r="E258" s="136"/>
      <c r="F258" s="137"/>
      <c r="G258" s="137"/>
      <c r="K258" s="138"/>
      <c r="Q258" s="138"/>
      <c r="Y258" s="138"/>
    </row>
    <row r="259" spans="5:25" s="135" customFormat="1">
      <c r="E259" s="136"/>
      <c r="F259" s="137"/>
      <c r="G259" s="137"/>
      <c r="K259" s="138"/>
      <c r="Q259" s="138"/>
      <c r="Y259" s="138"/>
    </row>
    <row r="260" spans="5:25" s="135" customFormat="1">
      <c r="E260" s="136"/>
      <c r="F260" s="137"/>
      <c r="G260" s="137"/>
      <c r="K260" s="138"/>
      <c r="Q260" s="138"/>
      <c r="Y260" s="138"/>
    </row>
    <row r="261" spans="5:25" s="135" customFormat="1">
      <c r="E261" s="136"/>
      <c r="F261" s="137"/>
      <c r="G261" s="137"/>
      <c r="K261" s="138"/>
      <c r="Q261" s="138"/>
      <c r="Y261" s="138"/>
    </row>
    <row r="262" spans="5:25" s="135" customFormat="1">
      <c r="E262" s="136"/>
      <c r="F262" s="137"/>
      <c r="G262" s="137"/>
      <c r="K262" s="138"/>
      <c r="Q262" s="138"/>
      <c r="Y262" s="138"/>
    </row>
    <row r="263" spans="5:25" s="135" customFormat="1">
      <c r="E263" s="136"/>
      <c r="F263" s="137"/>
      <c r="G263" s="137"/>
      <c r="K263" s="138"/>
      <c r="Q263" s="138"/>
      <c r="Y263" s="138"/>
    </row>
    <row r="264" spans="5:25" s="135" customFormat="1">
      <c r="E264" s="136"/>
      <c r="F264" s="137"/>
      <c r="G264" s="137"/>
      <c r="K264" s="138"/>
      <c r="Q264" s="138"/>
      <c r="Y264" s="138"/>
    </row>
    <row r="265" spans="5:25" s="135" customFormat="1">
      <c r="E265" s="136"/>
      <c r="F265" s="137"/>
      <c r="G265" s="137"/>
      <c r="K265" s="138"/>
      <c r="Q265" s="138"/>
      <c r="Y265" s="138"/>
    </row>
    <row r="266" spans="5:25" s="135" customFormat="1">
      <c r="E266" s="136"/>
      <c r="F266" s="137"/>
      <c r="G266" s="137"/>
      <c r="K266" s="138"/>
      <c r="Q266" s="138"/>
      <c r="Y266" s="138"/>
    </row>
    <row r="267" spans="5:25" s="135" customFormat="1">
      <c r="E267" s="136"/>
      <c r="F267" s="137"/>
      <c r="G267" s="137"/>
      <c r="K267" s="138"/>
      <c r="Q267" s="138"/>
      <c r="Y267" s="138"/>
    </row>
    <row r="268" spans="5:25" s="135" customFormat="1">
      <c r="E268" s="136"/>
      <c r="F268" s="137"/>
      <c r="G268" s="137"/>
      <c r="K268" s="138"/>
      <c r="Q268" s="138"/>
      <c r="Y268" s="138"/>
    </row>
    <row r="269" spans="5:25" s="135" customFormat="1">
      <c r="E269" s="136"/>
      <c r="F269" s="137"/>
      <c r="G269" s="137"/>
      <c r="K269" s="138"/>
      <c r="Q269" s="138"/>
      <c r="Y269" s="138"/>
    </row>
    <row r="270" spans="5:25" s="135" customFormat="1">
      <c r="E270" s="136"/>
      <c r="F270" s="137"/>
      <c r="G270" s="137"/>
      <c r="K270" s="138"/>
      <c r="Q270" s="138"/>
      <c r="Y270" s="138"/>
    </row>
    <row r="271" spans="5:25" s="135" customFormat="1">
      <c r="E271" s="136"/>
      <c r="F271" s="137"/>
      <c r="G271" s="137"/>
      <c r="K271" s="138"/>
      <c r="Q271" s="138"/>
      <c r="Y271" s="138"/>
    </row>
    <row r="272" spans="5:25" s="135" customFormat="1">
      <c r="E272" s="136"/>
      <c r="F272" s="137"/>
      <c r="G272" s="137"/>
      <c r="K272" s="138"/>
      <c r="Q272" s="138"/>
      <c r="Y272" s="138"/>
    </row>
    <row r="273" spans="5:25" s="135" customFormat="1">
      <c r="E273" s="136"/>
      <c r="F273" s="137"/>
      <c r="G273" s="137"/>
      <c r="K273" s="138"/>
      <c r="Q273" s="138"/>
      <c r="Y273" s="138"/>
    </row>
    <row r="274" spans="5:25" s="135" customFormat="1">
      <c r="E274" s="136"/>
      <c r="F274" s="137"/>
      <c r="G274" s="137"/>
      <c r="K274" s="138"/>
      <c r="Q274" s="138"/>
      <c r="Y274" s="138"/>
    </row>
    <row r="275" spans="5:25" s="135" customFormat="1">
      <c r="E275" s="136"/>
      <c r="F275" s="137"/>
      <c r="G275" s="137"/>
      <c r="K275" s="138"/>
      <c r="Q275" s="138"/>
      <c r="Y275" s="138"/>
    </row>
    <row r="276" spans="5:25" s="135" customFormat="1">
      <c r="E276" s="136"/>
      <c r="F276" s="137"/>
      <c r="G276" s="137"/>
      <c r="K276" s="138"/>
      <c r="Q276" s="138"/>
      <c r="Y276" s="138"/>
    </row>
    <row r="277" spans="5:25" s="135" customFormat="1">
      <c r="E277" s="136"/>
      <c r="F277" s="137"/>
      <c r="G277" s="137"/>
      <c r="K277" s="138"/>
      <c r="Q277" s="138"/>
      <c r="Y277" s="138"/>
    </row>
    <row r="278" spans="5:25" s="135" customFormat="1">
      <c r="E278" s="136"/>
      <c r="F278" s="137"/>
      <c r="G278" s="137"/>
      <c r="K278" s="138"/>
      <c r="Q278" s="138"/>
      <c r="Y278" s="138"/>
    </row>
    <row r="279" spans="5:25" s="135" customFormat="1">
      <c r="E279" s="136"/>
      <c r="F279" s="137"/>
      <c r="G279" s="137"/>
      <c r="K279" s="138"/>
      <c r="Q279" s="138"/>
      <c r="Y279" s="138"/>
    </row>
    <row r="280" spans="5:25" s="135" customFormat="1">
      <c r="E280" s="136"/>
      <c r="F280" s="137"/>
      <c r="G280" s="137"/>
      <c r="K280" s="138"/>
      <c r="Q280" s="138"/>
      <c r="Y280" s="138"/>
    </row>
    <row r="281" spans="5:25" s="135" customFormat="1">
      <c r="E281" s="136"/>
      <c r="F281" s="137"/>
      <c r="G281" s="137"/>
      <c r="K281" s="138"/>
      <c r="Q281" s="138"/>
      <c r="Y281" s="138"/>
    </row>
    <row r="282" spans="5:25" s="135" customFormat="1">
      <c r="E282" s="136"/>
      <c r="F282" s="137"/>
      <c r="G282" s="137"/>
      <c r="K282" s="138"/>
      <c r="Q282" s="138"/>
      <c r="Y282" s="138"/>
    </row>
    <row r="283" spans="5:25" s="135" customFormat="1">
      <c r="E283" s="136"/>
      <c r="F283" s="137"/>
      <c r="G283" s="137"/>
      <c r="K283" s="138"/>
      <c r="Q283" s="138"/>
      <c r="Y283" s="138"/>
    </row>
    <row r="284" spans="5:25" s="135" customFormat="1">
      <c r="E284" s="136"/>
      <c r="F284" s="137"/>
      <c r="G284" s="137"/>
      <c r="K284" s="138"/>
      <c r="Q284" s="138"/>
      <c r="Y284" s="138"/>
    </row>
    <row r="285" spans="5:25" s="135" customFormat="1">
      <c r="E285" s="136"/>
      <c r="F285" s="137"/>
      <c r="G285" s="137"/>
      <c r="K285" s="138"/>
      <c r="Q285" s="138"/>
      <c r="Y285" s="138"/>
    </row>
    <row r="286" spans="5:25" s="135" customFormat="1">
      <c r="E286" s="136"/>
      <c r="F286" s="137"/>
      <c r="G286" s="137"/>
      <c r="K286" s="138"/>
      <c r="Q286" s="138"/>
      <c r="Y286" s="138"/>
    </row>
    <row r="287" spans="5:25" s="135" customFormat="1">
      <c r="E287" s="136"/>
      <c r="F287" s="137"/>
      <c r="G287" s="137"/>
      <c r="K287" s="138"/>
      <c r="Q287" s="138"/>
      <c r="Y287" s="138"/>
    </row>
    <row r="288" spans="5:25" s="135" customFormat="1">
      <c r="E288" s="136"/>
      <c r="F288" s="137"/>
      <c r="G288" s="137"/>
      <c r="K288" s="138"/>
      <c r="Q288" s="138"/>
      <c r="Y288" s="138"/>
    </row>
    <row r="289" spans="5:25" s="135" customFormat="1">
      <c r="E289" s="136"/>
      <c r="F289" s="137"/>
      <c r="G289" s="137"/>
      <c r="K289" s="138"/>
      <c r="Q289" s="138"/>
      <c r="Y289" s="138"/>
    </row>
    <row r="290" spans="5:25" s="135" customFormat="1">
      <c r="E290" s="136"/>
      <c r="F290" s="137"/>
      <c r="G290" s="137"/>
      <c r="K290" s="138"/>
      <c r="Q290" s="138"/>
      <c r="Y290" s="138"/>
    </row>
    <row r="291" spans="5:25" s="135" customFormat="1">
      <c r="E291" s="136"/>
      <c r="F291" s="137"/>
      <c r="G291" s="137"/>
      <c r="K291" s="138"/>
      <c r="Q291" s="138"/>
      <c r="Y291" s="138"/>
    </row>
    <row r="292" spans="5:25" s="135" customFormat="1">
      <c r="E292" s="136"/>
      <c r="F292" s="137"/>
      <c r="G292" s="137"/>
      <c r="K292" s="138"/>
      <c r="Q292" s="138"/>
      <c r="Y292" s="138"/>
    </row>
    <row r="293" spans="5:25" s="135" customFormat="1">
      <c r="E293" s="136"/>
      <c r="F293" s="137"/>
      <c r="G293" s="137"/>
      <c r="K293" s="138"/>
      <c r="Q293" s="138"/>
      <c r="Y293" s="138"/>
    </row>
    <row r="294" spans="5:25" s="135" customFormat="1">
      <c r="E294" s="136"/>
      <c r="F294" s="137"/>
      <c r="G294" s="137"/>
      <c r="K294" s="138"/>
      <c r="Q294" s="138"/>
      <c r="Y294" s="138"/>
    </row>
    <row r="295" spans="5:25" s="135" customFormat="1">
      <c r="E295" s="136"/>
      <c r="F295" s="137"/>
      <c r="G295" s="137"/>
      <c r="K295" s="138"/>
      <c r="Q295" s="138"/>
      <c r="Y295" s="138"/>
    </row>
    <row r="296" spans="5:25" s="135" customFormat="1">
      <c r="E296" s="136"/>
      <c r="F296" s="137"/>
      <c r="G296" s="137"/>
      <c r="K296" s="138"/>
      <c r="Q296" s="138"/>
      <c r="Y296" s="138"/>
    </row>
    <row r="297" spans="5:25" s="135" customFormat="1">
      <c r="E297" s="136"/>
      <c r="F297" s="137"/>
      <c r="G297" s="137"/>
      <c r="K297" s="138"/>
      <c r="Q297" s="138"/>
      <c r="Y297" s="138"/>
    </row>
    <row r="298" spans="5:25" s="135" customFormat="1">
      <c r="E298" s="136"/>
      <c r="F298" s="137"/>
      <c r="G298" s="137"/>
      <c r="K298" s="138"/>
      <c r="Q298" s="138"/>
      <c r="Y298" s="138"/>
    </row>
    <row r="299" spans="5:25" s="135" customFormat="1">
      <c r="E299" s="136"/>
      <c r="F299" s="137"/>
      <c r="G299" s="137"/>
      <c r="K299" s="138"/>
      <c r="Q299" s="138"/>
      <c r="Y299" s="138"/>
    </row>
    <row r="300" spans="5:25" s="135" customFormat="1">
      <c r="E300" s="136"/>
      <c r="F300" s="137"/>
      <c r="G300" s="137"/>
      <c r="K300" s="138"/>
      <c r="Q300" s="138"/>
      <c r="Y300" s="138"/>
    </row>
    <row r="301" spans="5:25" s="135" customFormat="1">
      <c r="E301" s="136"/>
      <c r="F301" s="137"/>
      <c r="G301" s="137"/>
      <c r="K301" s="138"/>
      <c r="Q301" s="138"/>
      <c r="Y301" s="138"/>
    </row>
    <row r="302" spans="5:25" s="135" customFormat="1">
      <c r="E302" s="136"/>
      <c r="F302" s="137"/>
      <c r="G302" s="137"/>
      <c r="K302" s="138"/>
      <c r="Q302" s="138"/>
      <c r="Y302" s="138"/>
    </row>
    <row r="303" spans="5:25" s="135" customFormat="1">
      <c r="E303" s="136"/>
      <c r="F303" s="137"/>
      <c r="G303" s="137"/>
      <c r="K303" s="138"/>
      <c r="Q303" s="138"/>
      <c r="Y303" s="138"/>
    </row>
    <row r="304" spans="5:25" s="135" customFormat="1">
      <c r="E304" s="136"/>
      <c r="F304" s="137"/>
      <c r="G304" s="137"/>
      <c r="K304" s="138"/>
      <c r="Q304" s="138"/>
      <c r="Y304" s="138"/>
    </row>
    <row r="305" spans="5:25" s="135" customFormat="1">
      <c r="E305" s="136"/>
      <c r="F305" s="137"/>
      <c r="G305" s="137"/>
      <c r="K305" s="138"/>
      <c r="Q305" s="138"/>
      <c r="Y305" s="138"/>
    </row>
    <row r="306" spans="5:25" s="135" customFormat="1">
      <c r="E306" s="136"/>
      <c r="F306" s="137"/>
      <c r="G306" s="137"/>
      <c r="K306" s="138"/>
      <c r="Q306" s="138"/>
      <c r="Y306" s="138"/>
    </row>
    <row r="307" spans="5:25" s="135" customFormat="1">
      <c r="E307" s="136"/>
      <c r="F307" s="137"/>
      <c r="G307" s="137"/>
      <c r="K307" s="138"/>
      <c r="Q307" s="138"/>
      <c r="Y307" s="138"/>
    </row>
    <row r="308" spans="5:25" s="135" customFormat="1">
      <c r="E308" s="136"/>
      <c r="F308" s="137"/>
      <c r="G308" s="137"/>
      <c r="K308" s="138"/>
      <c r="Q308" s="138"/>
      <c r="Y308" s="138"/>
    </row>
    <row r="309" spans="5:25" s="135" customFormat="1">
      <c r="E309" s="136"/>
      <c r="F309" s="137"/>
      <c r="G309" s="137"/>
      <c r="K309" s="138"/>
      <c r="Q309" s="138"/>
      <c r="Y309" s="138"/>
    </row>
    <row r="310" spans="5:25" s="135" customFormat="1">
      <c r="E310" s="136"/>
      <c r="F310" s="137"/>
      <c r="G310" s="137"/>
      <c r="K310" s="138"/>
      <c r="Q310" s="138"/>
      <c r="Y310" s="138"/>
    </row>
    <row r="311" spans="5:25" s="135" customFormat="1">
      <c r="E311" s="136"/>
      <c r="F311" s="137"/>
      <c r="G311" s="137"/>
      <c r="K311" s="138"/>
      <c r="Q311" s="138"/>
      <c r="Y311" s="138"/>
    </row>
    <row r="312" spans="5:25" s="135" customFormat="1">
      <c r="E312" s="136"/>
      <c r="F312" s="137"/>
      <c r="G312" s="137"/>
      <c r="K312" s="138"/>
      <c r="Q312" s="138"/>
      <c r="Y312" s="138"/>
    </row>
    <row r="313" spans="5:25" s="135" customFormat="1">
      <c r="E313" s="136"/>
      <c r="F313" s="137"/>
      <c r="G313" s="137"/>
      <c r="K313" s="138"/>
      <c r="Q313" s="138"/>
      <c r="Y313" s="138"/>
    </row>
    <row r="314" spans="5:25" s="135" customFormat="1">
      <c r="E314" s="136"/>
      <c r="F314" s="137"/>
      <c r="G314" s="137"/>
      <c r="K314" s="138"/>
      <c r="Q314" s="138"/>
      <c r="Y314" s="138"/>
    </row>
    <row r="315" spans="5:25" s="135" customFormat="1">
      <c r="E315" s="136"/>
      <c r="F315" s="137"/>
      <c r="G315" s="137"/>
      <c r="K315" s="138"/>
      <c r="Q315" s="138"/>
      <c r="Y315" s="138"/>
    </row>
    <row r="316" spans="5:25" s="135" customFormat="1">
      <c r="E316" s="136"/>
      <c r="F316" s="137"/>
      <c r="G316" s="137"/>
      <c r="K316" s="138"/>
      <c r="Q316" s="138"/>
      <c r="Y316" s="138"/>
    </row>
    <row r="317" spans="5:25" s="135" customFormat="1">
      <c r="E317" s="136"/>
      <c r="F317" s="137"/>
      <c r="G317" s="137"/>
      <c r="K317" s="138"/>
      <c r="Q317" s="138"/>
      <c r="Y317" s="138"/>
    </row>
    <row r="318" spans="5:25" s="135" customFormat="1">
      <c r="E318" s="136"/>
      <c r="F318" s="137"/>
      <c r="G318" s="137"/>
      <c r="K318" s="138"/>
      <c r="Q318" s="138"/>
      <c r="Y318" s="138"/>
    </row>
    <row r="319" spans="5:25" s="135" customFormat="1">
      <c r="E319" s="136"/>
      <c r="F319" s="137"/>
      <c r="G319" s="137"/>
      <c r="K319" s="138"/>
      <c r="Q319" s="138"/>
      <c r="Y319" s="138"/>
    </row>
    <row r="320" spans="5:25" s="135" customFormat="1">
      <c r="E320" s="136"/>
      <c r="F320" s="137"/>
      <c r="G320" s="137"/>
      <c r="K320" s="138"/>
      <c r="Q320" s="138"/>
      <c r="Y320" s="138"/>
    </row>
    <row r="321" spans="5:25" s="135" customFormat="1">
      <c r="E321" s="136"/>
      <c r="F321" s="137"/>
      <c r="G321" s="137"/>
      <c r="K321" s="138"/>
      <c r="Q321" s="138"/>
      <c r="Y321" s="138"/>
    </row>
    <row r="322" spans="5:25" s="135" customFormat="1">
      <c r="E322" s="136"/>
      <c r="F322" s="137"/>
      <c r="G322" s="137"/>
      <c r="K322" s="138"/>
      <c r="Q322" s="138"/>
      <c r="Y322" s="138"/>
    </row>
    <row r="323" spans="5:25" s="135" customFormat="1">
      <c r="E323" s="136"/>
      <c r="F323" s="137"/>
      <c r="G323" s="137"/>
      <c r="K323" s="138"/>
      <c r="Q323" s="138"/>
      <c r="Y323" s="138"/>
    </row>
    <row r="324" spans="5:25" s="135" customFormat="1">
      <c r="E324" s="136"/>
      <c r="F324" s="137"/>
      <c r="G324" s="137"/>
      <c r="K324" s="138"/>
      <c r="Q324" s="138"/>
      <c r="Y324" s="138"/>
    </row>
    <row r="325" spans="5:25" s="135" customFormat="1">
      <c r="E325" s="136"/>
      <c r="F325" s="137"/>
      <c r="G325" s="137"/>
      <c r="K325" s="138"/>
      <c r="Q325" s="138"/>
      <c r="Y325" s="138"/>
    </row>
    <row r="326" spans="5:25" s="135" customFormat="1">
      <c r="E326" s="136"/>
      <c r="F326" s="137"/>
      <c r="G326" s="137"/>
      <c r="K326" s="138"/>
      <c r="Q326" s="138"/>
      <c r="Y326" s="138"/>
    </row>
    <row r="327" spans="5:25" s="135" customFormat="1">
      <c r="E327" s="136"/>
      <c r="F327" s="137"/>
      <c r="G327" s="137"/>
      <c r="K327" s="138"/>
      <c r="Q327" s="138"/>
      <c r="Y327" s="138"/>
    </row>
    <row r="328" spans="5:25" s="135" customFormat="1">
      <c r="E328" s="136"/>
      <c r="F328" s="137"/>
      <c r="G328" s="137"/>
      <c r="K328" s="138"/>
      <c r="Q328" s="138"/>
      <c r="Y328" s="138"/>
    </row>
    <row r="329" spans="5:25" s="135" customFormat="1">
      <c r="E329" s="136"/>
      <c r="F329" s="137"/>
      <c r="G329" s="137"/>
      <c r="K329" s="138"/>
      <c r="Q329" s="138"/>
      <c r="Y329" s="138"/>
    </row>
    <row r="330" spans="5:25" s="135" customFormat="1">
      <c r="E330" s="136"/>
      <c r="F330" s="137"/>
      <c r="G330" s="137"/>
      <c r="K330" s="138"/>
      <c r="Q330" s="138"/>
      <c r="Y330" s="138"/>
    </row>
    <row r="331" spans="5:25" s="135" customFormat="1">
      <c r="E331" s="136"/>
      <c r="F331" s="137"/>
      <c r="G331" s="137"/>
      <c r="K331" s="138"/>
      <c r="Q331" s="138"/>
      <c r="Y331" s="138"/>
    </row>
    <row r="332" spans="5:25" s="135" customFormat="1">
      <c r="E332" s="136"/>
      <c r="F332" s="137"/>
      <c r="G332" s="137"/>
      <c r="K332" s="138"/>
      <c r="Q332" s="138"/>
      <c r="Y332" s="138"/>
    </row>
    <row r="333" spans="5:25" s="135" customFormat="1">
      <c r="E333" s="136"/>
      <c r="F333" s="137"/>
      <c r="G333" s="137"/>
      <c r="K333" s="138"/>
      <c r="Q333" s="138"/>
      <c r="Y333" s="138"/>
    </row>
    <row r="334" spans="5:25" s="135" customFormat="1">
      <c r="E334" s="136"/>
      <c r="F334" s="137"/>
      <c r="G334" s="137"/>
      <c r="K334" s="138"/>
      <c r="Q334" s="138"/>
      <c r="Y334" s="138"/>
    </row>
    <row r="335" spans="5:25" s="135" customFormat="1">
      <c r="E335" s="136"/>
      <c r="F335" s="137"/>
      <c r="G335" s="137"/>
      <c r="K335" s="138"/>
      <c r="Q335" s="138"/>
      <c r="Y335" s="138"/>
    </row>
    <row r="336" spans="5:25" s="135" customFormat="1">
      <c r="E336" s="136"/>
      <c r="F336" s="137"/>
      <c r="G336" s="137"/>
      <c r="K336" s="138"/>
      <c r="Q336" s="138"/>
      <c r="Y336" s="138"/>
    </row>
    <row r="337" spans="5:25" s="135" customFormat="1">
      <c r="E337" s="136"/>
      <c r="F337" s="137"/>
      <c r="G337" s="137"/>
      <c r="K337" s="138"/>
      <c r="Q337" s="138"/>
      <c r="Y337" s="138"/>
    </row>
    <row r="338" spans="5:25" s="135" customFormat="1">
      <c r="E338" s="136"/>
      <c r="F338" s="137"/>
      <c r="G338" s="137"/>
      <c r="K338" s="138"/>
      <c r="Q338" s="138"/>
      <c r="Y338" s="138"/>
    </row>
    <row r="339" spans="5:25" s="135" customFormat="1">
      <c r="E339" s="136"/>
      <c r="F339" s="137"/>
      <c r="G339" s="137"/>
      <c r="K339" s="138"/>
      <c r="Q339" s="138"/>
      <c r="Y339" s="138"/>
    </row>
    <row r="340" spans="5:25" s="135" customFormat="1">
      <c r="E340" s="136"/>
      <c r="F340" s="137"/>
      <c r="G340" s="137"/>
      <c r="K340" s="138"/>
      <c r="Q340" s="138"/>
      <c r="Y340" s="138"/>
    </row>
    <row r="341" spans="5:25" s="135" customFormat="1">
      <c r="E341" s="136"/>
      <c r="F341" s="137"/>
      <c r="G341" s="137"/>
      <c r="K341" s="138"/>
      <c r="Q341" s="138"/>
      <c r="Y341" s="138"/>
    </row>
    <row r="342" spans="5:25" s="135" customFormat="1">
      <c r="E342" s="136"/>
      <c r="F342" s="137"/>
      <c r="G342" s="137"/>
      <c r="K342" s="138"/>
      <c r="Q342" s="138"/>
      <c r="Y342" s="138"/>
    </row>
    <row r="343" spans="5:25" s="135" customFormat="1">
      <c r="E343" s="136"/>
      <c r="F343" s="137"/>
      <c r="G343" s="137"/>
      <c r="K343" s="138"/>
      <c r="Q343" s="138"/>
      <c r="Y343" s="138"/>
    </row>
    <row r="344" spans="5:25" s="135" customFormat="1">
      <c r="E344" s="136"/>
      <c r="F344" s="137"/>
      <c r="G344" s="137"/>
      <c r="K344" s="138"/>
      <c r="Q344" s="138"/>
      <c r="Y344" s="138"/>
    </row>
    <row r="345" spans="5:25" s="135" customFormat="1">
      <c r="E345" s="136"/>
      <c r="F345" s="137"/>
      <c r="G345" s="137"/>
      <c r="K345" s="138"/>
      <c r="Q345" s="138"/>
      <c r="Y345" s="138"/>
    </row>
    <row r="346" spans="5:25" s="135" customFormat="1">
      <c r="E346" s="136"/>
      <c r="F346" s="137"/>
      <c r="G346" s="137"/>
      <c r="K346" s="138"/>
      <c r="Q346" s="138"/>
      <c r="Y346" s="138"/>
    </row>
    <row r="347" spans="5:25" s="135" customFormat="1">
      <c r="E347" s="136"/>
      <c r="F347" s="137"/>
      <c r="G347" s="137"/>
      <c r="K347" s="138"/>
      <c r="Q347" s="138"/>
      <c r="Y347" s="138"/>
    </row>
    <row r="348" spans="5:25" s="135" customFormat="1">
      <c r="E348" s="136"/>
      <c r="F348" s="137"/>
      <c r="G348" s="137"/>
      <c r="K348" s="138"/>
      <c r="Q348" s="138"/>
      <c r="Y348" s="138"/>
    </row>
    <row r="349" spans="5:25" s="135" customFormat="1">
      <c r="E349" s="136"/>
      <c r="F349" s="137"/>
      <c r="G349" s="137"/>
      <c r="K349" s="138"/>
      <c r="Q349" s="138"/>
      <c r="Y349" s="138"/>
    </row>
    <row r="350" spans="5:25" s="135" customFormat="1">
      <c r="E350" s="136"/>
      <c r="F350" s="137"/>
      <c r="G350" s="137"/>
      <c r="K350" s="138"/>
      <c r="Q350" s="138"/>
      <c r="Y350" s="138"/>
    </row>
    <row r="351" spans="5:25" s="135" customFormat="1">
      <c r="E351" s="136"/>
      <c r="F351" s="137"/>
      <c r="G351" s="137"/>
      <c r="K351" s="138"/>
      <c r="Q351" s="138"/>
      <c r="Y351" s="138"/>
    </row>
    <row r="352" spans="5:25" s="135" customFormat="1">
      <c r="E352" s="136"/>
      <c r="F352" s="137"/>
      <c r="G352" s="137"/>
      <c r="K352" s="138"/>
      <c r="Q352" s="138"/>
      <c r="Y352" s="138"/>
    </row>
    <row r="353" spans="5:25" s="135" customFormat="1">
      <c r="E353" s="136"/>
      <c r="F353" s="137"/>
      <c r="G353" s="137"/>
      <c r="K353" s="138"/>
      <c r="Q353" s="138"/>
      <c r="Y353" s="138"/>
    </row>
    <row r="354" spans="5:25" s="135" customFormat="1">
      <c r="E354" s="136"/>
      <c r="F354" s="137"/>
      <c r="G354" s="137"/>
      <c r="K354" s="138"/>
      <c r="Q354" s="138"/>
      <c r="Y354" s="138"/>
    </row>
    <row r="355" spans="5:25" s="135" customFormat="1">
      <c r="E355" s="136"/>
      <c r="F355" s="137"/>
      <c r="G355" s="137"/>
      <c r="K355" s="138"/>
      <c r="Q355" s="138"/>
      <c r="Y355" s="138"/>
    </row>
    <row r="356" spans="5:25" s="135" customFormat="1">
      <c r="E356" s="136"/>
      <c r="F356" s="137"/>
      <c r="G356" s="137"/>
      <c r="K356" s="138"/>
      <c r="Q356" s="138"/>
      <c r="Y356" s="138"/>
    </row>
    <row r="357" spans="5:25" s="135" customFormat="1">
      <c r="E357" s="136"/>
      <c r="F357" s="137"/>
      <c r="G357" s="137"/>
      <c r="K357" s="138"/>
      <c r="Q357" s="138"/>
      <c r="Y357" s="138"/>
    </row>
    <row r="358" spans="5:25" s="135" customFormat="1">
      <c r="E358" s="136"/>
      <c r="F358" s="137"/>
      <c r="G358" s="137"/>
      <c r="K358" s="138"/>
      <c r="Q358" s="138"/>
      <c r="Y358" s="138"/>
    </row>
    <row r="359" spans="5:25" s="135" customFormat="1">
      <c r="E359" s="136"/>
      <c r="F359" s="137"/>
      <c r="G359" s="137"/>
      <c r="K359" s="138"/>
      <c r="Q359" s="138"/>
      <c r="Y359" s="138"/>
    </row>
    <row r="360" spans="5:25" s="135" customFormat="1">
      <c r="E360" s="136"/>
      <c r="F360" s="137"/>
      <c r="G360" s="137"/>
      <c r="K360" s="138"/>
      <c r="Q360" s="138"/>
      <c r="Y360" s="138"/>
    </row>
    <row r="361" spans="5:25" s="135" customFormat="1">
      <c r="E361" s="136"/>
      <c r="F361" s="137"/>
      <c r="G361" s="137"/>
      <c r="K361" s="138"/>
      <c r="Q361" s="138"/>
      <c r="Y361" s="138"/>
    </row>
    <row r="362" spans="5:25" s="135" customFormat="1">
      <c r="E362" s="136"/>
      <c r="F362" s="137"/>
      <c r="G362" s="137"/>
      <c r="K362" s="138"/>
      <c r="Q362" s="138"/>
      <c r="Y362" s="138"/>
    </row>
    <row r="363" spans="5:25" s="135" customFormat="1">
      <c r="E363" s="136"/>
      <c r="F363" s="137"/>
      <c r="G363" s="137"/>
      <c r="K363" s="138"/>
      <c r="Q363" s="138"/>
      <c r="Y363" s="138"/>
    </row>
    <row r="364" spans="5:25" s="135" customFormat="1">
      <c r="E364" s="136"/>
      <c r="F364" s="137"/>
      <c r="G364" s="137"/>
      <c r="K364" s="138"/>
      <c r="Q364" s="138"/>
      <c r="Y364" s="138"/>
    </row>
    <row r="365" spans="5:25" s="135" customFormat="1">
      <c r="E365" s="136"/>
      <c r="F365" s="137"/>
      <c r="G365" s="137"/>
      <c r="K365" s="138"/>
      <c r="Q365" s="138"/>
      <c r="Y365" s="138"/>
    </row>
    <row r="366" spans="5:25" s="135" customFormat="1">
      <c r="E366" s="136"/>
      <c r="F366" s="137"/>
      <c r="G366" s="137"/>
      <c r="K366" s="138"/>
      <c r="Q366" s="138"/>
      <c r="Y366" s="138"/>
    </row>
    <row r="367" spans="5:25" s="135" customFormat="1">
      <c r="E367" s="136"/>
      <c r="F367" s="137"/>
      <c r="G367" s="137"/>
      <c r="K367" s="138"/>
      <c r="Q367" s="138"/>
      <c r="Y367" s="138"/>
    </row>
    <row r="368" spans="5:25" s="135" customFormat="1">
      <c r="E368" s="136"/>
      <c r="F368" s="137"/>
      <c r="G368" s="137"/>
      <c r="K368" s="138"/>
      <c r="Q368" s="138"/>
      <c r="Y368" s="138"/>
    </row>
    <row r="369" spans="5:25" s="135" customFormat="1">
      <c r="E369" s="136"/>
      <c r="F369" s="137"/>
      <c r="G369" s="137"/>
      <c r="K369" s="138"/>
      <c r="Q369" s="138"/>
      <c r="Y369" s="138"/>
    </row>
    <row r="370" spans="5:25" s="135" customFormat="1">
      <c r="E370" s="136"/>
      <c r="F370" s="137"/>
      <c r="G370" s="137"/>
      <c r="K370" s="138"/>
      <c r="Q370" s="138"/>
      <c r="Y370" s="138"/>
    </row>
    <row r="371" spans="5:25" s="135" customFormat="1">
      <c r="E371" s="136"/>
      <c r="F371" s="137"/>
      <c r="G371" s="137"/>
      <c r="K371" s="138"/>
      <c r="Q371" s="138"/>
      <c r="Y371" s="138"/>
    </row>
    <row r="372" spans="5:25" s="135" customFormat="1">
      <c r="E372" s="136"/>
      <c r="F372" s="137"/>
      <c r="G372" s="137"/>
      <c r="K372" s="138"/>
      <c r="Q372" s="138"/>
      <c r="Y372" s="138"/>
    </row>
    <row r="373" spans="5:25" s="135" customFormat="1">
      <c r="E373" s="136"/>
      <c r="F373" s="137"/>
      <c r="G373" s="137"/>
      <c r="K373" s="138"/>
      <c r="Q373" s="138"/>
      <c r="Y373" s="138"/>
    </row>
    <row r="374" spans="5:25" s="135" customFormat="1">
      <c r="E374" s="136"/>
      <c r="F374" s="137"/>
      <c r="G374" s="137"/>
      <c r="K374" s="138"/>
      <c r="Q374" s="138"/>
      <c r="Y374" s="138"/>
    </row>
    <row r="375" spans="5:25" s="135" customFormat="1">
      <c r="E375" s="136"/>
      <c r="F375" s="137"/>
      <c r="G375" s="137"/>
      <c r="K375" s="138"/>
      <c r="Q375" s="138"/>
      <c r="Y375" s="138"/>
    </row>
    <row r="376" spans="5:25" s="135" customFormat="1">
      <c r="E376" s="136"/>
      <c r="F376" s="137"/>
      <c r="G376" s="137"/>
      <c r="K376" s="138"/>
      <c r="Q376" s="138"/>
      <c r="Y376" s="138"/>
    </row>
    <row r="377" spans="5:25" s="135" customFormat="1">
      <c r="E377" s="136"/>
      <c r="F377" s="137"/>
      <c r="G377" s="137"/>
      <c r="K377" s="138"/>
      <c r="Q377" s="138"/>
      <c r="Y377" s="138"/>
    </row>
    <row r="378" spans="5:25" s="135" customFormat="1">
      <c r="E378" s="136"/>
      <c r="F378" s="137"/>
      <c r="G378" s="137"/>
      <c r="K378" s="138"/>
      <c r="Q378" s="138"/>
      <c r="Y378" s="138"/>
    </row>
    <row r="379" spans="5:25" s="135" customFormat="1">
      <c r="E379" s="136"/>
      <c r="F379" s="137"/>
      <c r="G379" s="137"/>
      <c r="K379" s="138"/>
      <c r="Q379" s="138"/>
      <c r="Y379" s="138"/>
    </row>
    <row r="380" spans="5:25" s="135" customFormat="1">
      <c r="E380" s="136"/>
      <c r="F380" s="137"/>
      <c r="G380" s="137"/>
      <c r="K380" s="138"/>
      <c r="Q380" s="138"/>
      <c r="Y380" s="138"/>
    </row>
    <row r="381" spans="5:25" s="135" customFormat="1">
      <c r="E381" s="136"/>
      <c r="F381" s="137"/>
      <c r="G381" s="137"/>
      <c r="K381" s="138"/>
      <c r="Q381" s="138"/>
      <c r="Y381" s="138"/>
    </row>
    <row r="382" spans="5:25" s="135" customFormat="1">
      <c r="E382" s="136"/>
      <c r="F382" s="137"/>
      <c r="G382" s="137"/>
      <c r="K382" s="138"/>
      <c r="Q382" s="138"/>
      <c r="Y382" s="138"/>
    </row>
    <row r="383" spans="5:25" s="135" customFormat="1">
      <c r="E383" s="136"/>
      <c r="F383" s="137"/>
      <c r="G383" s="137"/>
      <c r="K383" s="138"/>
      <c r="Q383" s="138"/>
      <c r="Y383" s="138"/>
    </row>
    <row r="384" spans="5:25" s="135" customFormat="1">
      <c r="E384" s="136"/>
      <c r="F384" s="137"/>
      <c r="G384" s="137"/>
      <c r="K384" s="138"/>
      <c r="Q384" s="138"/>
      <c r="Y384" s="138"/>
    </row>
    <row r="385" spans="5:25" s="135" customFormat="1">
      <c r="E385" s="136"/>
      <c r="F385" s="137"/>
      <c r="G385" s="137"/>
      <c r="K385" s="138"/>
      <c r="Q385" s="138"/>
      <c r="Y385" s="138"/>
    </row>
    <row r="386" spans="5:25" s="135" customFormat="1">
      <c r="E386" s="136"/>
      <c r="F386" s="137"/>
      <c r="G386" s="137"/>
      <c r="K386" s="138"/>
      <c r="Q386" s="138"/>
      <c r="Y386" s="138"/>
    </row>
    <row r="387" spans="5:25" s="135" customFormat="1">
      <c r="E387" s="136"/>
      <c r="F387" s="137"/>
      <c r="G387" s="137"/>
      <c r="K387" s="138"/>
      <c r="Q387" s="138"/>
      <c r="Y387" s="138"/>
    </row>
    <row r="388" spans="5:25" s="135" customFormat="1">
      <c r="E388" s="136"/>
      <c r="F388" s="137"/>
      <c r="G388" s="137"/>
      <c r="K388" s="138"/>
      <c r="Q388" s="138"/>
      <c r="Y388" s="138"/>
    </row>
    <row r="389" spans="5:25" s="135" customFormat="1">
      <c r="E389" s="136"/>
      <c r="F389" s="137"/>
      <c r="G389" s="137"/>
      <c r="K389" s="138"/>
      <c r="Q389" s="138"/>
      <c r="Y389" s="138"/>
    </row>
    <row r="390" spans="5:25" s="135" customFormat="1">
      <c r="E390" s="136"/>
      <c r="F390" s="137"/>
      <c r="G390" s="137"/>
      <c r="K390" s="138"/>
      <c r="Q390" s="138"/>
      <c r="Y390" s="138"/>
    </row>
    <row r="391" spans="5:25" s="135" customFormat="1">
      <c r="E391" s="136"/>
      <c r="F391" s="137"/>
      <c r="G391" s="137"/>
      <c r="K391" s="138"/>
      <c r="Q391" s="138"/>
      <c r="Y391" s="138"/>
    </row>
    <row r="392" spans="5:25" s="135" customFormat="1">
      <c r="E392" s="136"/>
      <c r="F392" s="137"/>
      <c r="G392" s="137"/>
      <c r="K392" s="138"/>
      <c r="Q392" s="138"/>
      <c r="Y392" s="138"/>
    </row>
    <row r="393" spans="5:25" s="135" customFormat="1">
      <c r="E393" s="136"/>
      <c r="F393" s="137"/>
      <c r="G393" s="137"/>
      <c r="K393" s="138"/>
      <c r="Q393" s="138"/>
      <c r="Y393" s="138"/>
    </row>
    <row r="394" spans="5:25" s="135" customFormat="1">
      <c r="E394" s="136"/>
      <c r="F394" s="137"/>
      <c r="G394" s="137"/>
      <c r="K394" s="138"/>
      <c r="Q394" s="138"/>
      <c r="Y394" s="138"/>
    </row>
    <row r="395" spans="5:25" s="135" customFormat="1">
      <c r="E395" s="136"/>
      <c r="F395" s="137"/>
      <c r="G395" s="137"/>
      <c r="K395" s="138"/>
      <c r="Q395" s="138"/>
      <c r="Y395" s="138"/>
    </row>
    <row r="396" spans="5:25" s="135" customFormat="1">
      <c r="E396" s="136"/>
      <c r="F396" s="137"/>
      <c r="G396" s="137"/>
      <c r="K396" s="138"/>
      <c r="Q396" s="138"/>
      <c r="Y396" s="138"/>
    </row>
    <row r="397" spans="5:25" s="135" customFormat="1">
      <c r="E397" s="136"/>
      <c r="F397" s="137"/>
      <c r="G397" s="137"/>
      <c r="K397" s="138"/>
      <c r="Q397" s="138"/>
      <c r="Y397" s="138"/>
    </row>
    <row r="398" spans="5:25" s="135" customFormat="1">
      <c r="E398" s="136"/>
      <c r="F398" s="137"/>
      <c r="G398" s="137"/>
      <c r="K398" s="138"/>
      <c r="Q398" s="138"/>
      <c r="Y398" s="138"/>
    </row>
    <row r="399" spans="5:25" s="135" customFormat="1">
      <c r="E399" s="136"/>
      <c r="F399" s="137"/>
      <c r="G399" s="137"/>
      <c r="K399" s="138"/>
      <c r="Q399" s="138"/>
      <c r="Y399" s="138"/>
    </row>
    <row r="400" spans="5:25" s="135" customFormat="1">
      <c r="E400" s="136"/>
      <c r="F400" s="137"/>
      <c r="G400" s="137"/>
      <c r="K400" s="138"/>
      <c r="Q400" s="138"/>
      <c r="Y400" s="138"/>
    </row>
    <row r="401" spans="5:25" s="135" customFormat="1">
      <c r="E401" s="136"/>
      <c r="F401" s="137"/>
      <c r="G401" s="137"/>
      <c r="K401" s="138"/>
      <c r="Q401" s="138"/>
      <c r="Y401" s="138"/>
    </row>
    <row r="402" spans="5:25" s="135" customFormat="1">
      <c r="E402" s="136"/>
      <c r="F402" s="137"/>
      <c r="G402" s="137"/>
      <c r="K402" s="138"/>
      <c r="Q402" s="138"/>
      <c r="Y402" s="138"/>
    </row>
    <row r="403" spans="5:25" s="135" customFormat="1">
      <c r="E403" s="136"/>
      <c r="F403" s="137"/>
      <c r="G403" s="137"/>
      <c r="K403" s="138"/>
      <c r="Q403" s="138"/>
      <c r="Y403" s="138"/>
    </row>
    <row r="404" spans="5:25" s="135" customFormat="1">
      <c r="E404" s="136"/>
      <c r="F404" s="137"/>
      <c r="G404" s="137"/>
      <c r="K404" s="138"/>
      <c r="Q404" s="138"/>
      <c r="Y404" s="138"/>
    </row>
    <row r="405" spans="5:25" s="135" customFormat="1">
      <c r="E405" s="136"/>
      <c r="F405" s="137"/>
      <c r="G405" s="137"/>
      <c r="K405" s="138"/>
      <c r="Q405" s="138"/>
      <c r="Y405" s="138"/>
    </row>
    <row r="406" spans="5:25" s="135" customFormat="1">
      <c r="E406" s="136"/>
      <c r="F406" s="137"/>
      <c r="G406" s="137"/>
      <c r="K406" s="138"/>
      <c r="Q406" s="138"/>
      <c r="Y406" s="138"/>
    </row>
    <row r="407" spans="5:25" s="135" customFormat="1">
      <c r="E407" s="136"/>
      <c r="F407" s="137"/>
      <c r="G407" s="137"/>
      <c r="K407" s="138"/>
      <c r="Q407" s="138"/>
      <c r="Y407" s="138"/>
    </row>
    <row r="408" spans="5:25" s="135" customFormat="1">
      <c r="E408" s="136"/>
      <c r="F408" s="137"/>
      <c r="G408" s="137"/>
      <c r="K408" s="138"/>
      <c r="Q408" s="138"/>
      <c r="Y408" s="138"/>
    </row>
    <row r="409" spans="5:25" s="135" customFormat="1">
      <c r="E409" s="136"/>
      <c r="F409" s="137"/>
      <c r="G409" s="137"/>
      <c r="K409" s="138"/>
      <c r="Q409" s="138"/>
      <c r="Y409" s="138"/>
    </row>
    <row r="410" spans="5:25" s="135" customFormat="1">
      <c r="E410" s="136"/>
      <c r="F410" s="137"/>
      <c r="G410" s="137"/>
      <c r="K410" s="138"/>
      <c r="Q410" s="138"/>
      <c r="Y410" s="138"/>
    </row>
    <row r="411" spans="5:25" s="135" customFormat="1">
      <c r="E411" s="136"/>
      <c r="F411" s="137"/>
      <c r="G411" s="137"/>
      <c r="K411" s="138"/>
      <c r="Q411" s="138"/>
      <c r="Y411" s="138"/>
    </row>
    <row r="412" spans="5:25" s="135" customFormat="1">
      <c r="E412" s="136"/>
      <c r="F412" s="137"/>
      <c r="G412" s="137"/>
      <c r="K412" s="138"/>
      <c r="Q412" s="138"/>
      <c r="Y412" s="138"/>
    </row>
    <row r="413" spans="5:25" s="135" customFormat="1">
      <c r="E413" s="136"/>
      <c r="F413" s="137"/>
      <c r="G413" s="137"/>
      <c r="K413" s="138"/>
      <c r="Q413" s="138"/>
      <c r="Y413" s="138"/>
    </row>
    <row r="414" spans="5:25" s="135" customFormat="1">
      <c r="E414" s="136"/>
      <c r="F414" s="137"/>
      <c r="G414" s="137"/>
      <c r="K414" s="138"/>
      <c r="Q414" s="138"/>
      <c r="Y414" s="138"/>
    </row>
    <row r="415" spans="5:25" s="135" customFormat="1">
      <c r="E415" s="136"/>
      <c r="F415" s="137"/>
      <c r="G415" s="137"/>
      <c r="K415" s="138"/>
      <c r="Q415" s="138"/>
      <c r="Y415" s="138"/>
    </row>
  </sheetData>
  <mergeCells count="1">
    <mergeCell ref="A21:D2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2C4C5-3EBE-45B6-9A60-209FEE5C77D9}">
  <sheetPr>
    <tabColor theme="3" tint="0.499984740745262"/>
  </sheetPr>
  <dimension ref="A1:AY147"/>
  <sheetViews>
    <sheetView zoomScale="70" zoomScaleNormal="70" workbookViewId="0">
      <selection activeCell="A20" sqref="A20"/>
    </sheetView>
  </sheetViews>
  <sheetFormatPr baseColWidth="10" defaultColWidth="9.265625" defaultRowHeight="14.25"/>
  <cols>
    <col min="1" max="1" width="9.86328125" style="79" customWidth="1"/>
    <col min="2" max="2" width="18" style="79" customWidth="1"/>
    <col min="3" max="3" width="18.59765625" style="79" customWidth="1"/>
    <col min="4" max="4" width="16.3984375" style="79" customWidth="1"/>
    <col min="5" max="5" width="17.86328125" style="85" customWidth="1"/>
    <col min="6" max="6" width="22.1328125" style="86" customWidth="1"/>
    <col min="7" max="7" width="18" style="86" customWidth="1"/>
    <col min="8" max="10" width="12.3984375" style="79" customWidth="1"/>
    <col min="11" max="11" width="12.3984375" style="87" customWidth="1"/>
    <col min="12" max="16" width="12.3984375" style="79" customWidth="1"/>
    <col min="17" max="17" width="13.265625" style="87" customWidth="1"/>
    <col min="18" max="24" width="12.3984375" style="79" customWidth="1"/>
    <col min="25" max="25" width="16" style="87" customWidth="1"/>
    <col min="26" max="26" width="14" style="135" customWidth="1"/>
    <col min="27" max="27" width="15.86328125" style="135" customWidth="1"/>
    <col min="28" max="28" width="18.265625" style="135" customWidth="1"/>
    <col min="29" max="29" width="21.265625" style="135" customWidth="1"/>
    <col min="30" max="30" width="16.265625" style="135" customWidth="1"/>
    <col min="31" max="31" width="20" style="135" customWidth="1"/>
    <col min="32" max="32" width="18.1328125" style="135" customWidth="1"/>
    <col min="33" max="33" width="25.3984375" style="135" customWidth="1"/>
    <col min="34" max="51" width="9.265625" style="135"/>
    <col min="52" max="16384" width="9.265625" style="79"/>
  </cols>
  <sheetData>
    <row r="1" spans="1:51" s="73" customFormat="1" ht="36.6" customHeight="1">
      <c r="A1" s="70" t="s">
        <v>176</v>
      </c>
      <c r="B1" s="71" t="s">
        <v>179</v>
      </c>
      <c r="C1" s="71" t="s">
        <v>187</v>
      </c>
      <c r="D1" s="71" t="s">
        <v>74</v>
      </c>
      <c r="E1" s="71" t="s">
        <v>188</v>
      </c>
      <c r="F1" s="71" t="s">
        <v>189</v>
      </c>
      <c r="G1" s="71" t="s">
        <v>52</v>
      </c>
      <c r="H1" s="72" t="s">
        <v>212</v>
      </c>
      <c r="I1" s="72" t="s">
        <v>213</v>
      </c>
      <c r="J1" s="72" t="s">
        <v>214</v>
      </c>
      <c r="K1" s="72" t="s">
        <v>215</v>
      </c>
      <c r="L1" s="72" t="s">
        <v>216</v>
      </c>
      <c r="M1" s="72" t="s">
        <v>217</v>
      </c>
      <c r="N1" s="72" t="s">
        <v>218</v>
      </c>
      <c r="O1" s="72" t="s">
        <v>219</v>
      </c>
      <c r="P1" s="72" t="s">
        <v>220</v>
      </c>
      <c r="Q1" s="72" t="s">
        <v>221</v>
      </c>
      <c r="R1" s="72" t="s">
        <v>222</v>
      </c>
      <c r="S1" s="72" t="s">
        <v>223</v>
      </c>
      <c r="T1" s="72" t="s">
        <v>224</v>
      </c>
      <c r="U1" s="72" t="s">
        <v>225</v>
      </c>
      <c r="V1" s="72" t="s">
        <v>226</v>
      </c>
      <c r="W1" s="72" t="s">
        <v>227</v>
      </c>
      <c r="X1" s="72" t="s">
        <v>228</v>
      </c>
      <c r="Y1" s="72" t="s">
        <v>229</v>
      </c>
      <c r="Z1" s="167" t="s">
        <v>239</v>
      </c>
      <c r="AA1" s="167" t="s">
        <v>240</v>
      </c>
      <c r="AB1" s="167" t="s">
        <v>241</v>
      </c>
      <c r="AC1" s="167" t="s">
        <v>242</v>
      </c>
      <c r="AD1" s="167" t="s">
        <v>243</v>
      </c>
      <c r="AE1" s="167" t="s">
        <v>244</v>
      </c>
      <c r="AF1" s="167" t="s">
        <v>245</v>
      </c>
      <c r="AG1" s="167" t="s">
        <v>246</v>
      </c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</row>
    <row r="2" spans="1:51" hidden="1">
      <c r="A2" s="74" t="s">
        <v>230</v>
      </c>
      <c r="B2" s="75" t="s">
        <v>231</v>
      </c>
      <c r="C2" s="75" t="s">
        <v>230</v>
      </c>
      <c r="D2" s="75" t="s">
        <v>27</v>
      </c>
      <c r="E2" s="76">
        <v>79316865070</v>
      </c>
      <c r="F2" s="77">
        <v>4</v>
      </c>
      <c r="G2" s="94">
        <v>2036</v>
      </c>
      <c r="H2" s="94">
        <v>50</v>
      </c>
      <c r="I2" s="94">
        <v>100</v>
      </c>
      <c r="J2" s="94">
        <v>150</v>
      </c>
      <c r="K2" s="94">
        <v>200</v>
      </c>
      <c r="L2" s="94">
        <v>270</v>
      </c>
      <c r="M2" s="94">
        <v>320</v>
      </c>
      <c r="N2" s="94">
        <v>350</v>
      </c>
      <c r="O2" s="94">
        <v>370</v>
      </c>
      <c r="P2" s="94">
        <v>380</v>
      </c>
      <c r="Q2" s="94">
        <v>400</v>
      </c>
      <c r="R2" s="94">
        <v>900</v>
      </c>
      <c r="S2" s="94">
        <v>1100</v>
      </c>
      <c r="T2" s="94">
        <v>1450</v>
      </c>
      <c r="U2" s="94">
        <v>1650</v>
      </c>
      <c r="V2" s="94">
        <v>1700</v>
      </c>
      <c r="W2" s="94">
        <v>1800</v>
      </c>
      <c r="X2" s="94">
        <v>1900</v>
      </c>
      <c r="Y2" s="94">
        <v>2036</v>
      </c>
      <c r="Z2" s="166"/>
      <c r="AA2" s="166"/>
      <c r="AB2" s="166"/>
      <c r="AC2" s="166"/>
      <c r="AD2" s="166"/>
      <c r="AE2" s="166"/>
      <c r="AF2" s="166"/>
      <c r="AG2" s="166"/>
    </row>
    <row r="3" spans="1:51" ht="26.25">
      <c r="A3" s="74" t="s">
        <v>232</v>
      </c>
      <c r="B3" s="75" t="s">
        <v>231</v>
      </c>
      <c r="C3" s="75" t="s">
        <v>232</v>
      </c>
      <c r="D3" s="75" t="s">
        <v>18</v>
      </c>
      <c r="E3" s="76">
        <v>83008042889</v>
      </c>
      <c r="F3" s="77">
        <v>3</v>
      </c>
      <c r="G3" s="94">
        <v>2295</v>
      </c>
      <c r="H3" s="94">
        <v>0</v>
      </c>
      <c r="I3" s="94"/>
      <c r="J3" s="94"/>
      <c r="K3" s="94"/>
      <c r="L3" s="94"/>
      <c r="M3" s="94"/>
      <c r="N3" s="94"/>
      <c r="O3" s="94"/>
      <c r="P3" s="94">
        <v>20</v>
      </c>
      <c r="Q3" s="94">
        <v>45</v>
      </c>
      <c r="R3" s="94">
        <v>115</v>
      </c>
      <c r="S3" s="94">
        <v>200</v>
      </c>
      <c r="T3" s="94">
        <v>230</v>
      </c>
      <c r="U3" s="94">
        <v>240</v>
      </c>
      <c r="V3" s="94">
        <v>290</v>
      </c>
      <c r="W3" s="94">
        <v>350</v>
      </c>
      <c r="X3" s="94">
        <v>370</v>
      </c>
      <c r="Y3" s="94">
        <v>400</v>
      </c>
      <c r="Z3" s="94">
        <v>425</v>
      </c>
      <c r="AA3" s="94">
        <v>525</v>
      </c>
      <c r="AB3" s="94">
        <v>775</v>
      </c>
      <c r="AC3" s="94">
        <v>1025</v>
      </c>
      <c r="AD3" s="94">
        <v>1275</v>
      </c>
      <c r="AE3" s="94">
        <v>1875</v>
      </c>
      <c r="AF3" s="94">
        <v>1975</v>
      </c>
      <c r="AG3" s="94">
        <v>2295</v>
      </c>
    </row>
    <row r="4" spans="1:51" ht="26.25" hidden="1">
      <c r="A4" s="74" t="s">
        <v>233</v>
      </c>
      <c r="B4" s="75" t="s">
        <v>116</v>
      </c>
      <c r="C4" s="75" t="s">
        <v>195</v>
      </c>
      <c r="D4" s="75" t="s">
        <v>27</v>
      </c>
      <c r="E4" s="76">
        <v>322709746890</v>
      </c>
      <c r="F4" s="77">
        <v>11.73</v>
      </c>
      <c r="G4" s="94">
        <v>10664</v>
      </c>
      <c r="H4" s="94">
        <v>0</v>
      </c>
      <c r="I4" s="94">
        <v>0</v>
      </c>
      <c r="J4" s="94">
        <v>80</v>
      </c>
      <c r="K4" s="94">
        <v>240</v>
      </c>
      <c r="L4" s="94">
        <v>400</v>
      </c>
      <c r="M4" s="94">
        <v>480</v>
      </c>
      <c r="N4" s="94">
        <v>560</v>
      </c>
      <c r="O4" s="94">
        <v>640</v>
      </c>
      <c r="P4" s="94">
        <v>720</v>
      </c>
      <c r="Q4" s="94">
        <v>800</v>
      </c>
      <c r="R4" s="94">
        <v>960</v>
      </c>
      <c r="S4" s="94">
        <v>1200</v>
      </c>
      <c r="T4" s="94">
        <v>1350</v>
      </c>
      <c r="U4" s="94">
        <f>Tabla1[[#This Row],[05/07/2026]]+800</f>
        <v>2150</v>
      </c>
      <c r="V4" s="94">
        <f>Tabla1[[#This Row],[10/07/2026]]+800</f>
        <v>2950</v>
      </c>
      <c r="W4" s="94">
        <f>Tabla1[[#This Row],[15/07/2026]]+800</f>
        <v>3750</v>
      </c>
      <c r="X4" s="94">
        <f>Tabla1[[#This Row],[20/07/2026]]+800</f>
        <v>4550</v>
      </c>
      <c r="Y4" s="94">
        <f>Tabla1[[#This Row],[25/07/2026]]+800</f>
        <v>5350</v>
      </c>
      <c r="Z4" s="94">
        <f>Tabla1[[#This Row],[30/07/2026]]+800</f>
        <v>6150</v>
      </c>
      <c r="AA4" s="94">
        <f>Tabla1[[#This Row],[05/08/2026]]+800</f>
        <v>6950</v>
      </c>
      <c r="AB4" s="94">
        <f>Tabla1[[#This Row],[10/08/2026]]+800</f>
        <v>7750</v>
      </c>
      <c r="AC4" s="94">
        <f>Tabla1[[#This Row],[15/08/2026]]+800</f>
        <v>8550</v>
      </c>
      <c r="AD4" s="94">
        <f>Tabla1[[#This Row],[20/08/2026]]+800</f>
        <v>9350</v>
      </c>
      <c r="AE4" s="94">
        <v>9800</v>
      </c>
      <c r="AF4" s="94">
        <v>10230</v>
      </c>
      <c r="AG4" s="94">
        <v>10664</v>
      </c>
    </row>
    <row r="5" spans="1:51" ht="39.4" hidden="1">
      <c r="A5" s="74" t="s">
        <v>234</v>
      </c>
      <c r="B5" s="75" t="s">
        <v>115</v>
      </c>
      <c r="C5" s="75" t="s">
        <v>197</v>
      </c>
      <c r="D5" s="75" t="s">
        <v>22</v>
      </c>
      <c r="E5" s="76">
        <v>121589085878</v>
      </c>
      <c r="F5" s="77">
        <v>4.16</v>
      </c>
      <c r="G5" s="94">
        <v>3783</v>
      </c>
      <c r="H5" s="94">
        <v>0</v>
      </c>
      <c r="I5" s="94">
        <v>0</v>
      </c>
      <c r="J5" s="94">
        <v>0</v>
      </c>
      <c r="K5" s="94">
        <v>0</v>
      </c>
      <c r="L5" s="94">
        <v>0</v>
      </c>
      <c r="M5" s="94">
        <v>40</v>
      </c>
      <c r="N5" s="94">
        <v>100</v>
      </c>
      <c r="O5" s="94">
        <v>160</v>
      </c>
      <c r="P5" s="94">
        <v>160</v>
      </c>
      <c r="Q5" s="94">
        <v>160</v>
      </c>
      <c r="R5" s="94">
        <v>352</v>
      </c>
      <c r="S5" s="94">
        <v>544</v>
      </c>
      <c r="T5" s="94">
        <v>736</v>
      </c>
      <c r="U5" s="94">
        <v>976</v>
      </c>
      <c r="V5" s="94">
        <v>1168</v>
      </c>
      <c r="W5" s="94">
        <v>1360</v>
      </c>
      <c r="X5" s="94">
        <v>1600</v>
      </c>
      <c r="Y5" s="94">
        <v>1792</v>
      </c>
      <c r="Z5" s="94">
        <v>2032</v>
      </c>
      <c r="AA5" s="94">
        <v>2224</v>
      </c>
      <c r="AB5" s="94">
        <v>2464</v>
      </c>
      <c r="AC5" s="94">
        <v>2656</v>
      </c>
      <c r="AD5" s="94">
        <v>2856</v>
      </c>
      <c r="AE5" s="94">
        <v>3056</v>
      </c>
      <c r="AF5" s="94">
        <v>3306</v>
      </c>
      <c r="AG5" s="94">
        <v>3783</v>
      </c>
    </row>
    <row r="6" spans="1:51" hidden="1">
      <c r="A6" s="74" t="s">
        <v>114</v>
      </c>
      <c r="B6" s="75" t="s">
        <v>113</v>
      </c>
      <c r="C6" s="75" t="s">
        <v>114</v>
      </c>
      <c r="D6" s="75" t="s">
        <v>22</v>
      </c>
      <c r="E6" s="76">
        <v>27742028640</v>
      </c>
      <c r="F6" s="77">
        <v>0.95</v>
      </c>
      <c r="G6" s="94">
        <v>862</v>
      </c>
      <c r="H6" s="94">
        <v>0</v>
      </c>
      <c r="I6" s="94">
        <v>0</v>
      </c>
      <c r="J6" s="94">
        <v>0</v>
      </c>
      <c r="K6" s="94">
        <v>0</v>
      </c>
      <c r="L6" s="94">
        <v>0</v>
      </c>
      <c r="M6" s="94">
        <v>0</v>
      </c>
      <c r="N6" s="94">
        <v>0</v>
      </c>
      <c r="O6" s="94">
        <v>0</v>
      </c>
      <c r="P6" s="94">
        <v>0</v>
      </c>
      <c r="Q6" s="94">
        <v>48</v>
      </c>
      <c r="R6" s="94">
        <v>84</v>
      </c>
      <c r="S6" s="94">
        <v>84</v>
      </c>
      <c r="T6" s="94">
        <v>144</v>
      </c>
      <c r="U6" s="94">
        <v>232</v>
      </c>
      <c r="V6" s="94">
        <v>342</v>
      </c>
      <c r="W6" s="94">
        <v>430</v>
      </c>
      <c r="X6" s="94">
        <v>518</v>
      </c>
      <c r="Y6" s="94">
        <v>628</v>
      </c>
      <c r="Z6" s="94">
        <v>716</v>
      </c>
      <c r="AA6" s="94">
        <v>862</v>
      </c>
      <c r="AB6" s="94"/>
      <c r="AC6" s="94"/>
      <c r="AD6" s="94"/>
      <c r="AE6" s="94"/>
      <c r="AF6" s="94"/>
      <c r="AG6" s="94"/>
    </row>
    <row r="7" spans="1:51" hidden="1">
      <c r="A7" s="74" t="s">
        <v>110</v>
      </c>
      <c r="B7" s="75" t="s">
        <v>109</v>
      </c>
      <c r="C7" s="75" t="s">
        <v>200</v>
      </c>
      <c r="D7" s="75" t="s">
        <v>22</v>
      </c>
      <c r="E7" s="76">
        <v>51087244522</v>
      </c>
      <c r="F7" s="77">
        <v>1.74</v>
      </c>
      <c r="G7" s="94">
        <v>1581</v>
      </c>
      <c r="H7" s="94">
        <v>0</v>
      </c>
      <c r="I7" s="94">
        <v>0</v>
      </c>
      <c r="J7" s="94">
        <v>0</v>
      </c>
      <c r="K7" s="94">
        <v>0</v>
      </c>
      <c r="L7" s="94">
        <v>0</v>
      </c>
      <c r="M7" s="94">
        <v>24</v>
      </c>
      <c r="N7" s="94">
        <v>120</v>
      </c>
      <c r="O7" s="94">
        <v>208</v>
      </c>
      <c r="P7" s="94">
        <v>296</v>
      </c>
      <c r="Q7" s="94">
        <v>416</v>
      </c>
      <c r="R7" s="94">
        <v>512</v>
      </c>
      <c r="S7" s="94">
        <v>512</v>
      </c>
      <c r="T7" s="94">
        <v>624</v>
      </c>
      <c r="U7" s="94">
        <v>728</v>
      </c>
      <c r="V7" s="94">
        <v>863</v>
      </c>
      <c r="W7" s="94">
        <v>983</v>
      </c>
      <c r="X7" s="94">
        <v>1103</v>
      </c>
      <c r="Y7" s="94">
        <v>1253</v>
      </c>
      <c r="Z7" s="94">
        <v>1333</v>
      </c>
      <c r="AA7" s="94">
        <v>1581</v>
      </c>
      <c r="AB7" s="94"/>
      <c r="AC7" s="94"/>
      <c r="AD7" s="94"/>
      <c r="AE7" s="94"/>
      <c r="AF7" s="94"/>
      <c r="AG7" s="94"/>
    </row>
    <row r="8" spans="1:51" ht="65.650000000000006" hidden="1">
      <c r="A8" s="74" t="s">
        <v>235</v>
      </c>
      <c r="B8" s="75" t="s">
        <v>111</v>
      </c>
      <c r="C8" s="75" t="s">
        <v>201</v>
      </c>
      <c r="D8" s="75" t="s">
        <v>22</v>
      </c>
      <c r="E8" s="76">
        <v>37573918087</v>
      </c>
      <c r="F8" s="77">
        <v>1.27</v>
      </c>
      <c r="G8" s="94">
        <v>1158</v>
      </c>
      <c r="H8" s="94">
        <v>0</v>
      </c>
      <c r="I8" s="94">
        <v>0</v>
      </c>
      <c r="J8" s="94">
        <v>0</v>
      </c>
      <c r="K8" s="94">
        <v>0</v>
      </c>
      <c r="L8" s="94">
        <v>0</v>
      </c>
      <c r="M8" s="94">
        <v>0</v>
      </c>
      <c r="N8" s="94">
        <v>36</v>
      </c>
      <c r="O8" s="94">
        <v>76</v>
      </c>
      <c r="P8" s="94">
        <v>124</v>
      </c>
      <c r="Q8" s="94">
        <v>194</v>
      </c>
      <c r="R8" s="94">
        <v>258</v>
      </c>
      <c r="S8" s="94">
        <v>258</v>
      </c>
      <c r="T8" s="94">
        <v>322</v>
      </c>
      <c r="U8" s="94">
        <v>410</v>
      </c>
      <c r="V8" s="94">
        <v>520</v>
      </c>
      <c r="W8" s="94">
        <v>608</v>
      </c>
      <c r="X8" s="94">
        <v>696</v>
      </c>
      <c r="Y8" s="94">
        <v>806</v>
      </c>
      <c r="Z8" s="94">
        <v>894</v>
      </c>
      <c r="AA8" s="94">
        <v>1158</v>
      </c>
      <c r="AB8" s="94"/>
      <c r="AC8" s="94"/>
      <c r="AD8" s="94"/>
      <c r="AE8" s="94"/>
      <c r="AF8" s="94"/>
      <c r="AG8" s="94"/>
    </row>
    <row r="9" spans="1:51" ht="26.25" hidden="1">
      <c r="A9" s="74" t="s">
        <v>236</v>
      </c>
      <c r="B9" s="75" t="s">
        <v>111</v>
      </c>
      <c r="C9" s="75" t="s">
        <v>202</v>
      </c>
      <c r="D9" s="75" t="s">
        <v>22</v>
      </c>
      <c r="E9" s="76">
        <v>4402514558</v>
      </c>
      <c r="F9" s="77">
        <v>0.19</v>
      </c>
      <c r="G9" s="94">
        <v>154</v>
      </c>
      <c r="H9" s="94">
        <v>0</v>
      </c>
      <c r="I9" s="94">
        <v>0</v>
      </c>
      <c r="J9" s="94">
        <v>0</v>
      </c>
      <c r="K9" s="94">
        <v>0</v>
      </c>
      <c r="L9" s="94">
        <v>0</v>
      </c>
      <c r="M9" s="94">
        <v>0</v>
      </c>
      <c r="N9" s="94">
        <v>24</v>
      </c>
      <c r="O9" s="94">
        <v>42</v>
      </c>
      <c r="P9" s="94">
        <v>60</v>
      </c>
      <c r="Q9" s="94">
        <v>90</v>
      </c>
      <c r="R9" s="94">
        <v>114</v>
      </c>
      <c r="S9" s="94">
        <v>114</v>
      </c>
      <c r="T9" s="94">
        <v>154</v>
      </c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51">
      <c r="A10" s="74" t="s">
        <v>203</v>
      </c>
      <c r="B10" s="75" t="s">
        <v>120</v>
      </c>
      <c r="C10" s="75" t="s">
        <v>203</v>
      </c>
      <c r="D10" s="75" t="s">
        <v>18</v>
      </c>
      <c r="E10" s="76">
        <v>31420264769</v>
      </c>
      <c r="F10" s="77">
        <v>1.21</v>
      </c>
      <c r="G10" s="94">
        <v>1003</v>
      </c>
      <c r="H10" s="94"/>
      <c r="I10" s="94"/>
      <c r="J10" s="94"/>
      <c r="K10" s="94"/>
      <c r="L10" s="94"/>
      <c r="M10" s="94"/>
      <c r="N10" s="94"/>
      <c r="O10" s="94"/>
      <c r="P10" s="94">
        <v>60</v>
      </c>
      <c r="Q10" s="94">
        <v>85</v>
      </c>
      <c r="R10" s="94">
        <v>155</v>
      </c>
      <c r="S10" s="94">
        <v>200</v>
      </c>
      <c r="T10" s="94">
        <v>225</v>
      </c>
      <c r="U10" s="94">
        <v>235</v>
      </c>
      <c r="V10" s="94">
        <v>285</v>
      </c>
      <c r="W10" s="94">
        <v>345</v>
      </c>
      <c r="X10" s="94">
        <v>365</v>
      </c>
      <c r="Y10" s="94">
        <v>400</v>
      </c>
      <c r="Z10" s="94">
        <v>450</v>
      </c>
      <c r="AA10" s="94">
        <v>460</v>
      </c>
      <c r="AB10" s="94">
        <v>480</v>
      </c>
      <c r="AC10" s="94">
        <v>580</v>
      </c>
      <c r="AD10" s="94">
        <v>780</v>
      </c>
      <c r="AE10" s="94">
        <v>790</v>
      </c>
      <c r="AF10" s="94">
        <v>810</v>
      </c>
      <c r="AG10" s="94">
        <v>1003</v>
      </c>
    </row>
    <row r="11" spans="1:51" hidden="1">
      <c r="A11" s="74" t="s">
        <v>102</v>
      </c>
      <c r="B11" s="75" t="s">
        <v>101</v>
      </c>
      <c r="C11" s="75" t="s">
        <v>204</v>
      </c>
      <c r="D11" s="75" t="s">
        <v>22</v>
      </c>
      <c r="E11" s="76">
        <v>18447808737</v>
      </c>
      <c r="F11" s="77">
        <v>0.76</v>
      </c>
      <c r="G11" s="94">
        <v>623</v>
      </c>
      <c r="H11" s="94">
        <v>60</v>
      </c>
      <c r="I11" s="94">
        <v>120</v>
      </c>
      <c r="J11" s="94">
        <v>180</v>
      </c>
      <c r="K11" s="94">
        <v>200</v>
      </c>
      <c r="L11" s="94">
        <v>250</v>
      </c>
      <c r="M11" s="94">
        <v>300</v>
      </c>
      <c r="N11" s="94">
        <v>350</v>
      </c>
      <c r="O11" s="94">
        <v>400</v>
      </c>
      <c r="P11" s="94">
        <v>430</v>
      </c>
      <c r="Q11" s="94">
        <v>460</v>
      </c>
      <c r="R11" s="94">
        <v>500</v>
      </c>
      <c r="S11" s="94">
        <v>530</v>
      </c>
      <c r="T11" s="94">
        <v>560</v>
      </c>
      <c r="U11" s="94">
        <v>580</v>
      </c>
      <c r="V11" s="94">
        <v>600</v>
      </c>
      <c r="W11" s="94">
        <v>610</v>
      </c>
      <c r="X11" s="94">
        <v>623</v>
      </c>
      <c r="Y11" s="94"/>
      <c r="Z11" s="94"/>
      <c r="AA11" s="94"/>
      <c r="AB11" s="94"/>
      <c r="AC11" s="94"/>
      <c r="AD11" s="94"/>
      <c r="AE11" s="94"/>
      <c r="AF11" s="94"/>
      <c r="AG11" s="94"/>
    </row>
    <row r="12" spans="1:51" hidden="1">
      <c r="A12" s="74" t="s">
        <v>205</v>
      </c>
      <c r="B12" s="75" t="s">
        <v>101</v>
      </c>
      <c r="C12" s="75" t="s">
        <v>205</v>
      </c>
      <c r="D12" s="75" t="s">
        <v>22</v>
      </c>
      <c r="E12" s="76">
        <v>18114661005</v>
      </c>
      <c r="F12" s="77">
        <v>0.76</v>
      </c>
      <c r="G12" s="94">
        <v>624</v>
      </c>
      <c r="H12" s="94">
        <v>0</v>
      </c>
      <c r="I12" s="94">
        <v>0</v>
      </c>
      <c r="J12" s="94">
        <v>0</v>
      </c>
      <c r="K12" s="94">
        <v>100</v>
      </c>
      <c r="L12" s="94">
        <v>100</v>
      </c>
      <c r="M12" s="94">
        <v>100</v>
      </c>
      <c r="N12" s="94">
        <v>125</v>
      </c>
      <c r="O12" s="94">
        <v>230</v>
      </c>
      <c r="P12" s="94">
        <v>270</v>
      </c>
      <c r="Q12" s="94">
        <v>350</v>
      </c>
      <c r="R12" s="94">
        <v>440</v>
      </c>
      <c r="S12" s="94">
        <v>510</v>
      </c>
      <c r="T12" s="94">
        <v>550</v>
      </c>
      <c r="U12" s="94">
        <v>590</v>
      </c>
      <c r="V12" s="94">
        <v>620</v>
      </c>
      <c r="W12" s="94">
        <v>624</v>
      </c>
      <c r="X12" s="94">
        <v>624</v>
      </c>
      <c r="Y12" s="94"/>
      <c r="Z12" s="94"/>
      <c r="AA12" s="94"/>
      <c r="AB12" s="94"/>
      <c r="AC12" s="94"/>
      <c r="AD12" s="94"/>
      <c r="AE12" s="94"/>
      <c r="AF12" s="94"/>
      <c r="AG12" s="94"/>
    </row>
    <row r="13" spans="1:51">
      <c r="A13" s="74" t="s">
        <v>122</v>
      </c>
      <c r="B13" s="75" t="s">
        <v>116</v>
      </c>
      <c r="C13" s="75" t="s">
        <v>122</v>
      </c>
      <c r="D13" s="75" t="s">
        <v>18</v>
      </c>
      <c r="E13" s="76">
        <v>30713269905</v>
      </c>
      <c r="F13" s="77">
        <v>1.2</v>
      </c>
      <c r="G13" s="94">
        <v>1000</v>
      </c>
      <c r="H13" s="94">
        <v>0</v>
      </c>
      <c r="I13" s="94">
        <v>0</v>
      </c>
      <c r="J13" s="94">
        <v>0</v>
      </c>
      <c r="K13" s="94">
        <v>0</v>
      </c>
      <c r="L13" s="94">
        <v>0</v>
      </c>
      <c r="M13" s="94">
        <v>0</v>
      </c>
      <c r="N13" s="94">
        <v>0</v>
      </c>
      <c r="O13" s="94">
        <v>0</v>
      </c>
      <c r="P13" s="94">
        <v>60</v>
      </c>
      <c r="Q13" s="94">
        <v>85</v>
      </c>
      <c r="R13" s="94">
        <v>155</v>
      </c>
      <c r="S13" s="94">
        <v>200</v>
      </c>
      <c r="T13" s="94">
        <v>210</v>
      </c>
      <c r="U13" s="94">
        <v>220</v>
      </c>
      <c r="V13" s="94">
        <v>270</v>
      </c>
      <c r="W13" s="94">
        <v>330</v>
      </c>
      <c r="X13" s="94">
        <v>350</v>
      </c>
      <c r="Y13" s="94">
        <v>400</v>
      </c>
      <c r="Z13" s="94">
        <v>500</v>
      </c>
      <c r="AA13" s="94">
        <v>510</v>
      </c>
      <c r="AB13" s="94">
        <v>530</v>
      </c>
      <c r="AC13" s="94">
        <v>630</v>
      </c>
      <c r="AD13" s="94">
        <v>830</v>
      </c>
      <c r="AE13" s="94">
        <v>840</v>
      </c>
      <c r="AF13" s="94">
        <v>860</v>
      </c>
      <c r="AG13" s="94">
        <v>1000</v>
      </c>
    </row>
    <row r="14" spans="1:51">
      <c r="A14" s="74" t="s">
        <v>206</v>
      </c>
      <c r="B14" s="75" t="s">
        <v>123</v>
      </c>
      <c r="C14" s="75" t="s">
        <v>206</v>
      </c>
      <c r="D14" s="75" t="s">
        <v>18</v>
      </c>
      <c r="E14" s="76">
        <v>6880380834</v>
      </c>
      <c r="F14" s="77">
        <v>0.31</v>
      </c>
      <c r="G14" s="94">
        <v>217</v>
      </c>
      <c r="H14" s="94">
        <v>0</v>
      </c>
      <c r="I14" s="94">
        <v>0</v>
      </c>
      <c r="J14" s="94">
        <v>0</v>
      </c>
      <c r="K14" s="94">
        <v>0</v>
      </c>
      <c r="L14" s="94">
        <v>0</v>
      </c>
      <c r="M14" s="94">
        <v>0</v>
      </c>
      <c r="N14" s="94">
        <v>0</v>
      </c>
      <c r="O14" s="94">
        <v>0</v>
      </c>
      <c r="P14" s="94">
        <v>20</v>
      </c>
      <c r="Q14" s="94">
        <v>35</v>
      </c>
      <c r="R14" s="94">
        <v>45</v>
      </c>
      <c r="S14" s="94">
        <v>50</v>
      </c>
      <c r="T14" s="94">
        <v>60</v>
      </c>
      <c r="U14" s="94">
        <v>62</v>
      </c>
      <c r="V14" s="94">
        <v>70</v>
      </c>
      <c r="W14" s="94">
        <v>75</v>
      </c>
      <c r="X14" s="94">
        <v>95</v>
      </c>
      <c r="Y14" s="94">
        <v>110</v>
      </c>
      <c r="Z14" s="94">
        <v>120</v>
      </c>
      <c r="AA14" s="94">
        <v>130</v>
      </c>
      <c r="AB14" s="94">
        <v>150</v>
      </c>
      <c r="AC14" s="94">
        <v>175</v>
      </c>
      <c r="AD14" s="94">
        <v>180</v>
      </c>
      <c r="AE14" s="94">
        <v>185</v>
      </c>
      <c r="AF14" s="94">
        <v>200</v>
      </c>
      <c r="AG14" s="94">
        <v>217</v>
      </c>
    </row>
    <row r="15" spans="1:51" ht="26.25">
      <c r="A15" s="74" t="s">
        <v>207</v>
      </c>
      <c r="B15" s="75" t="s">
        <v>123</v>
      </c>
      <c r="C15" s="75" t="s">
        <v>207</v>
      </c>
      <c r="D15" s="75" t="s">
        <v>18</v>
      </c>
      <c r="E15" s="76">
        <v>22802905997</v>
      </c>
      <c r="F15" s="77">
        <v>0.72</v>
      </c>
      <c r="G15" s="94">
        <v>719</v>
      </c>
      <c r="H15" s="94">
        <v>0</v>
      </c>
      <c r="I15" s="94">
        <v>0</v>
      </c>
      <c r="J15" s="94">
        <v>0</v>
      </c>
      <c r="K15" s="94">
        <v>0</v>
      </c>
      <c r="L15" s="94">
        <v>0</v>
      </c>
      <c r="M15" s="94">
        <v>0</v>
      </c>
      <c r="N15" s="94">
        <v>0</v>
      </c>
      <c r="O15" s="94">
        <v>0</v>
      </c>
      <c r="P15" s="94">
        <v>10</v>
      </c>
      <c r="Q15" s="94">
        <v>35</v>
      </c>
      <c r="R15" s="94">
        <v>105</v>
      </c>
      <c r="S15" s="94">
        <v>200</v>
      </c>
      <c r="T15" s="94">
        <v>220</v>
      </c>
      <c r="U15" s="94">
        <v>230</v>
      </c>
      <c r="V15" s="94">
        <v>280</v>
      </c>
      <c r="W15" s="94">
        <v>340</v>
      </c>
      <c r="X15" s="94">
        <v>360</v>
      </c>
      <c r="Y15" s="94">
        <v>400</v>
      </c>
      <c r="Z15" s="94">
        <v>420</v>
      </c>
      <c r="AA15" s="94">
        <v>430</v>
      </c>
      <c r="AB15" s="94">
        <v>440</v>
      </c>
      <c r="AC15" s="94">
        <v>490</v>
      </c>
      <c r="AD15" s="94">
        <v>600</v>
      </c>
      <c r="AE15" s="94">
        <v>610</v>
      </c>
      <c r="AF15" s="94">
        <v>630</v>
      </c>
      <c r="AG15" s="94">
        <v>719</v>
      </c>
    </row>
    <row r="16" spans="1:51">
      <c r="A16" s="74" t="s">
        <v>208</v>
      </c>
      <c r="B16" s="75" t="s">
        <v>123</v>
      </c>
      <c r="C16" s="75" t="s">
        <v>208</v>
      </c>
      <c r="D16" s="75" t="s">
        <v>18</v>
      </c>
      <c r="E16" s="76">
        <v>9349545113</v>
      </c>
      <c r="F16" s="77">
        <v>0.42</v>
      </c>
      <c r="G16" s="94">
        <v>293</v>
      </c>
      <c r="H16" s="94">
        <v>0</v>
      </c>
      <c r="I16" s="94">
        <v>0</v>
      </c>
      <c r="J16" s="94">
        <v>0</v>
      </c>
      <c r="K16" s="94">
        <v>0</v>
      </c>
      <c r="L16" s="94">
        <v>0</v>
      </c>
      <c r="M16" s="94">
        <v>0</v>
      </c>
      <c r="N16" s="94">
        <v>0</v>
      </c>
      <c r="O16" s="94">
        <v>0</v>
      </c>
      <c r="P16" s="94">
        <v>10</v>
      </c>
      <c r="Q16" s="94">
        <v>20</v>
      </c>
      <c r="R16" s="94">
        <v>30</v>
      </c>
      <c r="S16" s="94">
        <v>50</v>
      </c>
      <c r="T16" s="94">
        <v>60</v>
      </c>
      <c r="U16" s="94">
        <v>70</v>
      </c>
      <c r="V16" s="94">
        <v>80</v>
      </c>
      <c r="W16" s="94">
        <v>85</v>
      </c>
      <c r="X16" s="94">
        <v>90</v>
      </c>
      <c r="Y16" s="94">
        <v>100</v>
      </c>
      <c r="Z16" s="94">
        <v>110</v>
      </c>
      <c r="AA16" s="94">
        <v>120</v>
      </c>
      <c r="AB16" s="94">
        <v>130</v>
      </c>
      <c r="AC16" s="94">
        <v>150</v>
      </c>
      <c r="AD16" s="94">
        <v>160</v>
      </c>
      <c r="AE16" s="94">
        <v>180</v>
      </c>
      <c r="AF16" s="94">
        <v>185</v>
      </c>
      <c r="AG16" s="94">
        <v>293</v>
      </c>
    </row>
    <row r="17" spans="1:51" ht="26.25">
      <c r="A17" s="74" t="s">
        <v>209</v>
      </c>
      <c r="B17" s="75" t="s">
        <v>123</v>
      </c>
      <c r="C17" s="75" t="s">
        <v>209</v>
      </c>
      <c r="D17" s="75" t="s">
        <v>18</v>
      </c>
      <c r="E17" s="76">
        <v>24764667070</v>
      </c>
      <c r="F17" s="77">
        <v>1.1000000000000001</v>
      </c>
      <c r="G17" s="94">
        <v>777</v>
      </c>
      <c r="H17" s="94">
        <v>0</v>
      </c>
      <c r="I17" s="94">
        <v>0</v>
      </c>
      <c r="J17" s="94">
        <v>0</v>
      </c>
      <c r="K17" s="94">
        <v>0</v>
      </c>
      <c r="L17" s="94">
        <v>0</v>
      </c>
      <c r="M17" s="94">
        <v>0</v>
      </c>
      <c r="N17" s="94">
        <v>0</v>
      </c>
      <c r="O17" s="94">
        <v>0</v>
      </c>
      <c r="P17" s="94">
        <v>60</v>
      </c>
      <c r="Q17" s="94">
        <v>85</v>
      </c>
      <c r="R17" s="94">
        <v>155</v>
      </c>
      <c r="S17" s="94">
        <v>200</v>
      </c>
      <c r="T17" s="94">
        <v>225</v>
      </c>
      <c r="U17" s="94">
        <v>235</v>
      </c>
      <c r="V17" s="94">
        <v>285</v>
      </c>
      <c r="W17" s="94">
        <v>345</v>
      </c>
      <c r="X17" s="94">
        <v>365</v>
      </c>
      <c r="Y17" s="94">
        <v>300</v>
      </c>
      <c r="Z17" s="94">
        <v>320</v>
      </c>
      <c r="AA17" s="94">
        <v>330</v>
      </c>
      <c r="AB17" s="94">
        <v>340</v>
      </c>
      <c r="AC17" s="94">
        <v>390</v>
      </c>
      <c r="AD17" s="94">
        <v>500</v>
      </c>
      <c r="AE17" s="94">
        <v>510</v>
      </c>
      <c r="AF17" s="94">
        <v>530</v>
      </c>
      <c r="AG17" s="94">
        <v>777</v>
      </c>
    </row>
    <row r="18" spans="1:51" ht="26.25">
      <c r="A18" s="80" t="s">
        <v>210</v>
      </c>
      <c r="B18" s="81" t="s">
        <v>185</v>
      </c>
      <c r="C18" s="81" t="s">
        <v>210</v>
      </c>
      <c r="D18" s="81" t="s">
        <v>18</v>
      </c>
      <c r="E18" s="82">
        <v>24437339433</v>
      </c>
      <c r="F18" s="83">
        <v>1.52</v>
      </c>
      <c r="G18" s="96">
        <v>755</v>
      </c>
      <c r="H18" s="94">
        <v>0</v>
      </c>
      <c r="I18" s="94">
        <v>0</v>
      </c>
      <c r="J18" s="94">
        <v>0</v>
      </c>
      <c r="K18" s="94">
        <v>0</v>
      </c>
      <c r="L18" s="94">
        <v>0</v>
      </c>
      <c r="M18" s="94">
        <v>0</v>
      </c>
      <c r="N18" s="94">
        <v>0</v>
      </c>
      <c r="O18" s="94">
        <v>0</v>
      </c>
      <c r="P18" s="96">
        <v>35</v>
      </c>
      <c r="Q18" s="96">
        <v>60</v>
      </c>
      <c r="R18" s="96">
        <v>130</v>
      </c>
      <c r="S18" s="96">
        <v>200</v>
      </c>
      <c r="T18" s="96">
        <v>220</v>
      </c>
      <c r="U18" s="96">
        <v>230</v>
      </c>
      <c r="V18" s="96">
        <v>280</v>
      </c>
      <c r="W18" s="96">
        <v>340</v>
      </c>
      <c r="X18" s="96">
        <v>360</v>
      </c>
      <c r="Y18" s="96">
        <v>300</v>
      </c>
      <c r="Z18" s="94">
        <v>310</v>
      </c>
      <c r="AA18" s="94">
        <v>320</v>
      </c>
      <c r="AB18" s="94">
        <v>330</v>
      </c>
      <c r="AC18" s="94">
        <v>380</v>
      </c>
      <c r="AD18" s="94">
        <v>490</v>
      </c>
      <c r="AE18" s="94">
        <v>500</v>
      </c>
      <c r="AF18" s="94">
        <v>520</v>
      </c>
      <c r="AG18" s="94">
        <v>755</v>
      </c>
    </row>
    <row r="19" spans="1:51" ht="26.25" hidden="1">
      <c r="A19" s="95" t="s">
        <v>127</v>
      </c>
      <c r="B19" s="96" t="s">
        <v>126</v>
      </c>
      <c r="C19" s="96" t="s">
        <v>126</v>
      </c>
      <c r="D19" s="96" t="s">
        <v>183</v>
      </c>
      <c r="E19" s="96">
        <v>41281267500</v>
      </c>
      <c r="F19" s="117">
        <v>4.3499999999999996</v>
      </c>
      <c r="G19" s="96">
        <v>2500</v>
      </c>
      <c r="H19" s="96">
        <v>0</v>
      </c>
      <c r="I19" s="96">
        <v>0</v>
      </c>
      <c r="J19" s="96">
        <v>0</v>
      </c>
      <c r="K19" s="96">
        <v>0</v>
      </c>
      <c r="L19" s="96">
        <v>100</v>
      </c>
      <c r="M19" s="96">
        <v>512</v>
      </c>
      <c r="N19" s="96">
        <f>Tabla1[[#This Row],[30/05/2026]]+60</f>
        <v>572</v>
      </c>
      <c r="O19" s="96">
        <f>Tabla1[[#This Row],[04/06/2026]]+60</f>
        <v>632</v>
      </c>
      <c r="P19" s="96">
        <f>Tabla1[[#This Row],[09/06/2026]]+60</f>
        <v>692</v>
      </c>
      <c r="Q19" s="96">
        <f>Tabla1[[#This Row],[14/06/2026]]+120</f>
        <v>812</v>
      </c>
      <c r="R19" s="96">
        <f>Tabla1[[#This Row],[20/06/2026]]+120</f>
        <v>932</v>
      </c>
      <c r="S19" s="96">
        <f>Tabla1[[#This Row],[25/06/2026]]+120</f>
        <v>1052</v>
      </c>
      <c r="T19" s="96">
        <v>1200</v>
      </c>
      <c r="U19" s="96">
        <v>1420</v>
      </c>
      <c r="V19" s="96">
        <v>1720</v>
      </c>
      <c r="W19" s="96">
        <v>1920</v>
      </c>
      <c r="X19" s="96">
        <v>2120</v>
      </c>
      <c r="Y19" s="96">
        <v>2320</v>
      </c>
      <c r="Z19" s="96">
        <v>2500</v>
      </c>
      <c r="AA19" s="96"/>
      <c r="AB19" s="96"/>
      <c r="AC19" s="96"/>
      <c r="AD19" s="96"/>
      <c r="AE19" s="96"/>
      <c r="AF19" s="96"/>
      <c r="AG19" s="96"/>
      <c r="AT19" s="79"/>
      <c r="AU19" s="79"/>
      <c r="AV19" s="79"/>
      <c r="AW19" s="79"/>
      <c r="AX19" s="79"/>
      <c r="AY19" s="79"/>
    </row>
    <row r="20" spans="1:51" ht="14.65" thickBot="1">
      <c r="G20" s="97"/>
      <c r="H20" s="97"/>
      <c r="I20" s="97"/>
      <c r="J20" s="97"/>
      <c r="K20" s="98"/>
      <c r="L20" s="97"/>
      <c r="M20" s="97"/>
      <c r="N20" s="97"/>
      <c r="O20" s="97"/>
      <c r="P20" s="97"/>
      <c r="Q20" s="98"/>
      <c r="R20" s="97"/>
      <c r="S20" s="97"/>
      <c r="T20" s="97"/>
      <c r="U20" s="97"/>
      <c r="V20" s="97"/>
      <c r="W20" s="97"/>
      <c r="X20" s="97"/>
      <c r="Y20" s="98"/>
    </row>
    <row r="21" spans="1:51" ht="14.65" thickBot="1">
      <c r="A21" s="216" t="s">
        <v>237</v>
      </c>
      <c r="B21" s="217"/>
      <c r="C21" s="217"/>
      <c r="D21" s="217"/>
      <c r="E21" s="118">
        <f t="shared" ref="E21:Y21" si="0">SUM(E2:E20)</f>
        <v>955641556897</v>
      </c>
      <c r="F21" s="119">
        <f t="shared" si="0"/>
        <v>39.390000000000008</v>
      </c>
      <c r="G21" s="99">
        <f t="shared" si="0"/>
        <v>31044</v>
      </c>
      <c r="H21" s="99">
        <f t="shared" si="0"/>
        <v>110</v>
      </c>
      <c r="I21" s="99">
        <f t="shared" si="0"/>
        <v>220</v>
      </c>
      <c r="J21" s="99">
        <f t="shared" si="0"/>
        <v>410</v>
      </c>
      <c r="K21" s="99">
        <f t="shared" si="0"/>
        <v>740</v>
      </c>
      <c r="L21" s="99">
        <f t="shared" si="0"/>
        <v>1120</v>
      </c>
      <c r="M21" s="99">
        <f t="shared" si="0"/>
        <v>1776</v>
      </c>
      <c r="N21" s="99">
        <f t="shared" si="0"/>
        <v>2237</v>
      </c>
      <c r="O21" s="99">
        <f t="shared" si="0"/>
        <v>2758</v>
      </c>
      <c r="P21" s="99">
        <f t="shared" si="0"/>
        <v>3407</v>
      </c>
      <c r="Q21" s="99">
        <f t="shared" si="0"/>
        <v>4180</v>
      </c>
      <c r="R21" s="99">
        <f t="shared" si="0"/>
        <v>5942</v>
      </c>
      <c r="S21" s="99">
        <f t="shared" si="0"/>
        <v>7204</v>
      </c>
      <c r="T21" s="99">
        <f t="shared" si="0"/>
        <v>8540</v>
      </c>
      <c r="U21" s="99">
        <f t="shared" si="0"/>
        <v>10258</v>
      </c>
      <c r="V21" s="99">
        <f t="shared" si="0"/>
        <v>12323</v>
      </c>
      <c r="W21" s="99">
        <f t="shared" si="0"/>
        <v>14295</v>
      </c>
      <c r="X21" s="99">
        <f t="shared" si="0"/>
        <v>16089</v>
      </c>
      <c r="Y21" s="100">
        <f t="shared" si="0"/>
        <v>16595</v>
      </c>
      <c r="Z21" s="100">
        <f t="shared" ref="Z21:AG21" si="1">SUM(Z2:Z20)</f>
        <v>16280</v>
      </c>
      <c r="AA21" s="100">
        <f t="shared" si="1"/>
        <v>15600</v>
      </c>
      <c r="AB21" s="100">
        <f t="shared" si="1"/>
        <v>13389</v>
      </c>
      <c r="AC21" s="100">
        <f t="shared" si="1"/>
        <v>15026</v>
      </c>
      <c r="AD21" s="100">
        <f t="shared" si="1"/>
        <v>17021</v>
      </c>
      <c r="AE21" s="100">
        <f t="shared" si="1"/>
        <v>18346</v>
      </c>
      <c r="AF21" s="100">
        <f t="shared" si="1"/>
        <v>19246</v>
      </c>
      <c r="AG21" s="100">
        <f t="shared" si="1"/>
        <v>21506</v>
      </c>
    </row>
    <row r="22" spans="1:51" s="135" customFormat="1">
      <c r="E22" s="136"/>
      <c r="F22" s="137"/>
      <c r="G22" s="137"/>
      <c r="K22" s="138"/>
      <c r="Q22" s="138"/>
      <c r="Y22" s="138"/>
    </row>
    <row r="23" spans="1:51" s="135" customFormat="1">
      <c r="E23" s="136"/>
      <c r="F23" s="137"/>
      <c r="G23" s="137"/>
      <c r="K23" s="138"/>
      <c r="Q23" s="138"/>
      <c r="Y23" s="138"/>
    </row>
    <row r="24" spans="1:51" s="135" customFormat="1">
      <c r="E24" s="136"/>
      <c r="F24" s="137"/>
      <c r="G24" s="137"/>
      <c r="K24" s="138"/>
      <c r="Q24" s="138"/>
      <c r="Y24" s="138"/>
    </row>
    <row r="25" spans="1:51" s="135" customFormat="1">
      <c r="E25" s="136"/>
      <c r="F25" s="137"/>
      <c r="G25" s="137"/>
      <c r="K25" s="138"/>
      <c r="Q25" s="138"/>
      <c r="Y25" s="138"/>
    </row>
    <row r="26" spans="1:51" s="135" customFormat="1">
      <c r="E26" s="136"/>
      <c r="F26" s="137"/>
      <c r="G26" s="137"/>
      <c r="K26" s="138"/>
      <c r="Q26" s="138"/>
      <c r="Y26" s="138"/>
    </row>
    <row r="27" spans="1:51" s="135" customFormat="1">
      <c r="E27" s="136"/>
      <c r="F27" s="137"/>
      <c r="G27" s="89" t="s">
        <v>22</v>
      </c>
      <c r="H27" s="89" t="s">
        <v>212</v>
      </c>
      <c r="I27" s="89" t="s">
        <v>213</v>
      </c>
      <c r="J27" s="89" t="s">
        <v>214</v>
      </c>
      <c r="K27" s="89" t="s">
        <v>215</v>
      </c>
      <c r="L27" s="89" t="s">
        <v>216</v>
      </c>
      <c r="M27" s="89" t="s">
        <v>217</v>
      </c>
      <c r="N27" s="89" t="s">
        <v>218</v>
      </c>
      <c r="O27" s="89" t="s">
        <v>219</v>
      </c>
      <c r="P27" s="89" t="s">
        <v>220</v>
      </c>
      <c r="Q27" s="89" t="s">
        <v>221</v>
      </c>
      <c r="R27" s="89" t="s">
        <v>222</v>
      </c>
      <c r="S27" s="89" t="s">
        <v>223</v>
      </c>
      <c r="T27" s="89" t="s">
        <v>224</v>
      </c>
      <c r="U27" s="89" t="s">
        <v>225</v>
      </c>
      <c r="V27" s="89" t="s">
        <v>226</v>
      </c>
      <c r="W27" s="89" t="s">
        <v>227</v>
      </c>
      <c r="X27" s="89" t="s">
        <v>228</v>
      </c>
      <c r="Y27" s="89" t="s">
        <v>229</v>
      </c>
      <c r="Z27" s="89" t="s">
        <v>239</v>
      </c>
      <c r="AA27" s="89" t="s">
        <v>240</v>
      </c>
      <c r="AB27" s="89" t="s">
        <v>241</v>
      </c>
      <c r="AC27" s="89" t="s">
        <v>242</v>
      </c>
      <c r="AD27" s="89" t="s">
        <v>243</v>
      </c>
      <c r="AE27" s="89" t="s">
        <v>244</v>
      </c>
      <c r="AF27" s="89" t="s">
        <v>245</v>
      </c>
      <c r="AG27" s="89" t="s">
        <v>246</v>
      </c>
    </row>
    <row r="28" spans="1:51" s="135" customFormat="1">
      <c r="E28" s="136"/>
      <c r="F28" s="137"/>
      <c r="G28" s="174" t="str">
        <f>A5</f>
        <v>Norte De Santander</v>
      </c>
      <c r="H28" s="163">
        <f>H5</f>
        <v>0</v>
      </c>
      <c r="I28" s="163">
        <f t="shared" ref="I28:K32" si="2">I5-H5</f>
        <v>0</v>
      </c>
      <c r="J28" s="163">
        <f t="shared" si="2"/>
        <v>0</v>
      </c>
      <c r="K28" s="163">
        <f t="shared" si="2"/>
        <v>0</v>
      </c>
      <c r="L28" s="163">
        <f t="shared" ref="L28:AG28" si="3">L5-K5</f>
        <v>0</v>
      </c>
      <c r="M28" s="163">
        <f t="shared" si="3"/>
        <v>40</v>
      </c>
      <c r="N28" s="163">
        <f t="shared" si="3"/>
        <v>60</v>
      </c>
      <c r="O28" s="163">
        <f t="shared" si="3"/>
        <v>60</v>
      </c>
      <c r="P28" s="163">
        <f t="shared" si="3"/>
        <v>0</v>
      </c>
      <c r="Q28" s="163">
        <f t="shared" si="3"/>
        <v>0</v>
      </c>
      <c r="R28" s="163">
        <f t="shared" si="3"/>
        <v>192</v>
      </c>
      <c r="S28" s="163">
        <f t="shared" si="3"/>
        <v>192</v>
      </c>
      <c r="T28" s="163">
        <f t="shared" si="3"/>
        <v>192</v>
      </c>
      <c r="U28" s="163">
        <f t="shared" si="3"/>
        <v>240</v>
      </c>
      <c r="V28" s="163">
        <f t="shared" si="3"/>
        <v>192</v>
      </c>
      <c r="W28" s="163">
        <f t="shared" si="3"/>
        <v>192</v>
      </c>
      <c r="X28" s="163">
        <f t="shared" si="3"/>
        <v>240</v>
      </c>
      <c r="Y28" s="163">
        <f t="shared" si="3"/>
        <v>192</v>
      </c>
      <c r="Z28" s="163">
        <f t="shared" si="3"/>
        <v>240</v>
      </c>
      <c r="AA28" s="163">
        <f t="shared" si="3"/>
        <v>192</v>
      </c>
      <c r="AB28" s="163">
        <f t="shared" si="3"/>
        <v>240</v>
      </c>
      <c r="AC28" s="163">
        <f t="shared" si="3"/>
        <v>192</v>
      </c>
      <c r="AD28" s="163">
        <f t="shared" si="3"/>
        <v>200</v>
      </c>
      <c r="AE28" s="163">
        <f t="shared" si="3"/>
        <v>200</v>
      </c>
      <c r="AF28" s="163">
        <f t="shared" si="3"/>
        <v>250</v>
      </c>
      <c r="AG28" s="163">
        <f t="shared" si="3"/>
        <v>477</v>
      </c>
    </row>
    <row r="29" spans="1:51" s="135" customFormat="1">
      <c r="E29" s="136"/>
      <c r="F29" s="137"/>
      <c r="G29" s="174" t="str">
        <f>A6</f>
        <v>Ricaurte</v>
      </c>
      <c r="H29" s="163">
        <f t="shared" ref="H29:H32" si="4">H6</f>
        <v>0</v>
      </c>
      <c r="I29" s="163">
        <f t="shared" si="2"/>
        <v>0</v>
      </c>
      <c r="J29" s="163">
        <f t="shared" si="2"/>
        <v>0</v>
      </c>
      <c r="K29" s="163">
        <f t="shared" si="2"/>
        <v>0</v>
      </c>
      <c r="L29" s="163">
        <f t="shared" ref="L29:AA29" si="5">L6-K6</f>
        <v>0</v>
      </c>
      <c r="M29" s="163">
        <f t="shared" si="5"/>
        <v>0</v>
      </c>
      <c r="N29" s="163">
        <f t="shared" si="5"/>
        <v>0</v>
      </c>
      <c r="O29" s="163">
        <f t="shared" si="5"/>
        <v>0</v>
      </c>
      <c r="P29" s="163">
        <f t="shared" si="5"/>
        <v>0</v>
      </c>
      <c r="Q29" s="163">
        <f t="shared" si="5"/>
        <v>48</v>
      </c>
      <c r="R29" s="163">
        <f t="shared" si="5"/>
        <v>36</v>
      </c>
      <c r="S29" s="163">
        <f t="shared" si="5"/>
        <v>0</v>
      </c>
      <c r="T29" s="163">
        <f t="shared" si="5"/>
        <v>60</v>
      </c>
      <c r="U29" s="163">
        <f t="shared" si="5"/>
        <v>88</v>
      </c>
      <c r="V29" s="163">
        <f t="shared" si="5"/>
        <v>110</v>
      </c>
      <c r="W29" s="163">
        <f t="shared" si="5"/>
        <v>88</v>
      </c>
      <c r="X29" s="163">
        <f t="shared" si="5"/>
        <v>88</v>
      </c>
      <c r="Y29" s="163">
        <f t="shared" si="5"/>
        <v>110</v>
      </c>
      <c r="Z29" s="163">
        <f t="shared" si="5"/>
        <v>88</v>
      </c>
      <c r="AA29" s="163">
        <f t="shared" si="5"/>
        <v>146</v>
      </c>
      <c r="AB29" s="163"/>
      <c r="AC29" s="163">
        <f t="shared" ref="AC29:AG31" si="6">AC6-AB6</f>
        <v>0</v>
      </c>
      <c r="AD29" s="163">
        <f t="shared" si="6"/>
        <v>0</v>
      </c>
      <c r="AE29" s="163">
        <f t="shared" si="6"/>
        <v>0</v>
      </c>
      <c r="AF29" s="163">
        <f t="shared" si="6"/>
        <v>0</v>
      </c>
      <c r="AG29" s="163">
        <f t="shared" si="6"/>
        <v>0</v>
      </c>
    </row>
    <row r="30" spans="1:51" s="135" customFormat="1">
      <c r="E30" s="136"/>
      <c r="F30" s="137"/>
      <c r="G30" s="174" t="str">
        <f>A7</f>
        <v>Santa Marta</v>
      </c>
      <c r="H30" s="163">
        <f t="shared" si="4"/>
        <v>0</v>
      </c>
      <c r="I30" s="163">
        <f t="shared" si="2"/>
        <v>0</v>
      </c>
      <c r="J30" s="163">
        <f t="shared" si="2"/>
        <v>0</v>
      </c>
      <c r="K30" s="163">
        <f t="shared" si="2"/>
        <v>0</v>
      </c>
      <c r="L30" s="163">
        <f t="shared" ref="L30:AA30" si="7">L7-K7</f>
        <v>0</v>
      </c>
      <c r="M30" s="163">
        <f t="shared" si="7"/>
        <v>24</v>
      </c>
      <c r="N30" s="163">
        <f t="shared" si="7"/>
        <v>96</v>
      </c>
      <c r="O30" s="163">
        <f t="shared" si="7"/>
        <v>88</v>
      </c>
      <c r="P30" s="163">
        <f t="shared" si="7"/>
        <v>88</v>
      </c>
      <c r="Q30" s="163">
        <f t="shared" si="7"/>
        <v>120</v>
      </c>
      <c r="R30" s="163">
        <f t="shared" si="7"/>
        <v>96</v>
      </c>
      <c r="S30" s="163">
        <f t="shared" si="7"/>
        <v>0</v>
      </c>
      <c r="T30" s="163">
        <f t="shared" si="7"/>
        <v>112</v>
      </c>
      <c r="U30" s="163">
        <f t="shared" si="7"/>
        <v>104</v>
      </c>
      <c r="V30" s="163">
        <f t="shared" si="7"/>
        <v>135</v>
      </c>
      <c r="W30" s="163">
        <f t="shared" si="7"/>
        <v>120</v>
      </c>
      <c r="X30" s="163">
        <f t="shared" si="7"/>
        <v>120</v>
      </c>
      <c r="Y30" s="163">
        <f t="shared" si="7"/>
        <v>150</v>
      </c>
      <c r="Z30" s="163">
        <f t="shared" si="7"/>
        <v>80</v>
      </c>
      <c r="AA30" s="163">
        <f t="shared" si="7"/>
        <v>248</v>
      </c>
      <c r="AB30" s="163"/>
      <c r="AC30" s="163">
        <f t="shared" si="6"/>
        <v>0</v>
      </c>
      <c r="AD30" s="163">
        <f t="shared" si="6"/>
        <v>0</v>
      </c>
      <c r="AE30" s="163">
        <f t="shared" si="6"/>
        <v>0</v>
      </c>
      <c r="AF30" s="163">
        <f t="shared" si="6"/>
        <v>0</v>
      </c>
      <c r="AG30" s="163">
        <f t="shared" si="6"/>
        <v>0</v>
      </c>
    </row>
    <row r="31" spans="1:51" s="135" customFormat="1" ht="28.5">
      <c r="E31" s="136"/>
      <c r="F31" s="137"/>
      <c r="G31" s="174" t="str">
        <f t="shared" ref="G31:G32" si="8">A8</f>
        <v>Santander 11 Municipios</v>
      </c>
      <c r="H31" s="163">
        <f t="shared" si="4"/>
        <v>0</v>
      </c>
      <c r="I31" s="163">
        <f t="shared" si="2"/>
        <v>0</v>
      </c>
      <c r="J31" s="163">
        <f t="shared" si="2"/>
        <v>0</v>
      </c>
      <c r="K31" s="163">
        <f t="shared" si="2"/>
        <v>0</v>
      </c>
      <c r="L31" s="163">
        <f t="shared" ref="L31:AA31" si="9">L8-K8</f>
        <v>0</v>
      </c>
      <c r="M31" s="163">
        <f t="shared" si="9"/>
        <v>0</v>
      </c>
      <c r="N31" s="163">
        <f t="shared" si="9"/>
        <v>36</v>
      </c>
      <c r="O31" s="163">
        <f t="shared" si="9"/>
        <v>40</v>
      </c>
      <c r="P31" s="163">
        <f t="shared" si="9"/>
        <v>48</v>
      </c>
      <c r="Q31" s="163">
        <f t="shared" si="9"/>
        <v>70</v>
      </c>
      <c r="R31" s="163">
        <f t="shared" si="9"/>
        <v>64</v>
      </c>
      <c r="S31" s="163">
        <f t="shared" si="9"/>
        <v>0</v>
      </c>
      <c r="T31" s="163">
        <f t="shared" si="9"/>
        <v>64</v>
      </c>
      <c r="U31" s="163">
        <f t="shared" si="9"/>
        <v>88</v>
      </c>
      <c r="V31" s="163">
        <f t="shared" si="9"/>
        <v>110</v>
      </c>
      <c r="W31" s="163">
        <f t="shared" si="9"/>
        <v>88</v>
      </c>
      <c r="X31" s="163">
        <f t="shared" si="9"/>
        <v>88</v>
      </c>
      <c r="Y31" s="163">
        <f t="shared" si="9"/>
        <v>110</v>
      </c>
      <c r="Z31" s="163">
        <f t="shared" si="9"/>
        <v>88</v>
      </c>
      <c r="AA31" s="163">
        <f t="shared" si="9"/>
        <v>264</v>
      </c>
      <c r="AB31" s="163"/>
      <c r="AC31" s="163">
        <f t="shared" si="6"/>
        <v>0</v>
      </c>
      <c r="AD31" s="163">
        <f t="shared" si="6"/>
        <v>0</v>
      </c>
      <c r="AE31" s="163">
        <f t="shared" si="6"/>
        <v>0</v>
      </c>
      <c r="AF31" s="163">
        <f t="shared" si="6"/>
        <v>0</v>
      </c>
      <c r="AG31" s="163">
        <f t="shared" si="6"/>
        <v>0</v>
      </c>
    </row>
    <row r="32" spans="1:51" s="135" customFormat="1">
      <c r="E32" s="136"/>
      <c r="F32" s="137"/>
      <c r="G32" s="174" t="str">
        <f t="shared" si="8"/>
        <v>Santander - Guaca</v>
      </c>
      <c r="H32" s="163">
        <f t="shared" si="4"/>
        <v>0</v>
      </c>
      <c r="I32" s="163">
        <f t="shared" si="2"/>
        <v>0</v>
      </c>
      <c r="J32" s="163">
        <f t="shared" si="2"/>
        <v>0</v>
      </c>
      <c r="K32" s="163">
        <f t="shared" si="2"/>
        <v>0</v>
      </c>
      <c r="L32" s="163">
        <f t="shared" ref="L32:T32" si="10">L9-K9</f>
        <v>0</v>
      </c>
      <c r="M32" s="163">
        <f t="shared" si="10"/>
        <v>0</v>
      </c>
      <c r="N32" s="163">
        <f t="shared" si="10"/>
        <v>24</v>
      </c>
      <c r="O32" s="163">
        <f t="shared" si="10"/>
        <v>18</v>
      </c>
      <c r="P32" s="163">
        <f t="shared" si="10"/>
        <v>18</v>
      </c>
      <c r="Q32" s="163">
        <f t="shared" si="10"/>
        <v>30</v>
      </c>
      <c r="R32" s="163">
        <f t="shared" si="10"/>
        <v>24</v>
      </c>
      <c r="S32" s="163">
        <f t="shared" si="10"/>
        <v>0</v>
      </c>
      <c r="T32" s="163">
        <f t="shared" si="10"/>
        <v>40</v>
      </c>
      <c r="U32" s="163"/>
      <c r="V32" s="163">
        <f>V9-U9</f>
        <v>0</v>
      </c>
      <c r="W32" s="163">
        <f>W9-V9</f>
        <v>0</v>
      </c>
      <c r="X32" s="163">
        <f>X9-W9</f>
        <v>0</v>
      </c>
      <c r="Y32" s="163">
        <f t="shared" ref="Y32:AG32" si="11">Y9-X9</f>
        <v>0</v>
      </c>
      <c r="Z32" s="163">
        <f t="shared" si="11"/>
        <v>0</v>
      </c>
      <c r="AA32" s="163">
        <f t="shared" si="11"/>
        <v>0</v>
      </c>
      <c r="AB32" s="163">
        <f t="shared" si="11"/>
        <v>0</v>
      </c>
      <c r="AC32" s="163">
        <f t="shared" si="11"/>
        <v>0</v>
      </c>
      <c r="AD32" s="163">
        <f t="shared" si="11"/>
        <v>0</v>
      </c>
      <c r="AE32" s="163">
        <f t="shared" si="11"/>
        <v>0</v>
      </c>
      <c r="AF32" s="163">
        <f t="shared" si="11"/>
        <v>0</v>
      </c>
      <c r="AG32" s="163">
        <f t="shared" si="11"/>
        <v>0</v>
      </c>
    </row>
    <row r="33" spans="5:33" s="135" customFormat="1">
      <c r="E33" s="136"/>
      <c r="F33" s="137"/>
      <c r="G33" s="174" t="s">
        <v>102</v>
      </c>
      <c r="H33" s="163">
        <f>H11</f>
        <v>60</v>
      </c>
      <c r="I33" s="163">
        <f t="shared" ref="I33:X33" si="12">I11-H11</f>
        <v>60</v>
      </c>
      <c r="J33" s="163">
        <f t="shared" si="12"/>
        <v>60</v>
      </c>
      <c r="K33" s="163">
        <f t="shared" si="12"/>
        <v>20</v>
      </c>
      <c r="L33" s="163">
        <f t="shared" si="12"/>
        <v>50</v>
      </c>
      <c r="M33" s="163">
        <f t="shared" si="12"/>
        <v>50</v>
      </c>
      <c r="N33" s="163">
        <f t="shared" si="12"/>
        <v>50</v>
      </c>
      <c r="O33" s="163">
        <f t="shared" si="12"/>
        <v>50</v>
      </c>
      <c r="P33" s="163">
        <f t="shared" si="12"/>
        <v>30</v>
      </c>
      <c r="Q33" s="163">
        <f t="shared" si="12"/>
        <v>30</v>
      </c>
      <c r="R33" s="163">
        <f t="shared" si="12"/>
        <v>40</v>
      </c>
      <c r="S33" s="163">
        <f t="shared" si="12"/>
        <v>30</v>
      </c>
      <c r="T33" s="163">
        <f t="shared" si="12"/>
        <v>30</v>
      </c>
      <c r="U33" s="163">
        <f t="shared" si="12"/>
        <v>20</v>
      </c>
      <c r="V33" s="163">
        <f t="shared" si="12"/>
        <v>20</v>
      </c>
      <c r="W33" s="163">
        <f t="shared" si="12"/>
        <v>10</v>
      </c>
      <c r="X33" s="163">
        <f t="shared" si="12"/>
        <v>13</v>
      </c>
      <c r="Y33" s="163"/>
      <c r="Z33" s="163"/>
      <c r="AA33" s="163">
        <f t="shared" ref="AA33:AG35" si="13">AA10-Z10</f>
        <v>10</v>
      </c>
      <c r="AB33" s="163">
        <f t="shared" si="13"/>
        <v>20</v>
      </c>
      <c r="AC33" s="163">
        <f t="shared" si="13"/>
        <v>100</v>
      </c>
      <c r="AD33" s="163">
        <f t="shared" si="13"/>
        <v>200</v>
      </c>
      <c r="AE33" s="163">
        <f t="shared" si="13"/>
        <v>10</v>
      </c>
      <c r="AF33" s="163">
        <f t="shared" si="13"/>
        <v>20</v>
      </c>
      <c r="AG33" s="163">
        <f t="shared" si="13"/>
        <v>193</v>
      </c>
    </row>
    <row r="34" spans="5:33" s="135" customFormat="1">
      <c r="E34" s="136"/>
      <c r="F34" s="137"/>
      <c r="G34" s="174" t="str">
        <f>A12</f>
        <v>Curumani</v>
      </c>
      <c r="H34" s="163">
        <f>H12</f>
        <v>0</v>
      </c>
      <c r="I34" s="163">
        <f t="shared" ref="I34:X34" si="14">I12-H12</f>
        <v>0</v>
      </c>
      <c r="J34" s="163">
        <f t="shared" si="14"/>
        <v>0</v>
      </c>
      <c r="K34" s="163">
        <f t="shared" si="14"/>
        <v>100</v>
      </c>
      <c r="L34" s="163">
        <f t="shared" si="14"/>
        <v>0</v>
      </c>
      <c r="M34" s="163">
        <f t="shared" si="14"/>
        <v>0</v>
      </c>
      <c r="N34" s="163">
        <f t="shared" si="14"/>
        <v>25</v>
      </c>
      <c r="O34" s="163">
        <f t="shared" si="14"/>
        <v>105</v>
      </c>
      <c r="P34" s="163">
        <f t="shared" si="14"/>
        <v>40</v>
      </c>
      <c r="Q34" s="163">
        <f t="shared" si="14"/>
        <v>80</v>
      </c>
      <c r="R34" s="163">
        <f t="shared" si="14"/>
        <v>90</v>
      </c>
      <c r="S34" s="163">
        <f t="shared" si="14"/>
        <v>70</v>
      </c>
      <c r="T34" s="163">
        <f t="shared" si="14"/>
        <v>40</v>
      </c>
      <c r="U34" s="163">
        <f t="shared" si="14"/>
        <v>40</v>
      </c>
      <c r="V34" s="163">
        <f t="shared" si="14"/>
        <v>30</v>
      </c>
      <c r="W34" s="163">
        <f t="shared" si="14"/>
        <v>4</v>
      </c>
      <c r="X34" s="163">
        <f t="shared" si="14"/>
        <v>0</v>
      </c>
      <c r="Y34" s="163"/>
      <c r="Z34" s="163"/>
      <c r="AA34" s="163">
        <f t="shared" si="13"/>
        <v>0</v>
      </c>
      <c r="AB34" s="163">
        <f t="shared" si="13"/>
        <v>0</v>
      </c>
      <c r="AC34" s="163">
        <f t="shared" si="13"/>
        <v>0</v>
      </c>
      <c r="AD34" s="163">
        <f t="shared" si="13"/>
        <v>0</v>
      </c>
      <c r="AE34" s="163">
        <f t="shared" si="13"/>
        <v>0</v>
      </c>
      <c r="AF34" s="163">
        <f t="shared" si="13"/>
        <v>0</v>
      </c>
      <c r="AG34" s="163">
        <f t="shared" si="13"/>
        <v>0</v>
      </c>
    </row>
    <row r="35" spans="5:33" s="135" customFormat="1" ht="14.65" thickBot="1">
      <c r="E35" s="136"/>
      <c r="F35" s="137"/>
      <c r="G35" s="175" t="s">
        <v>211</v>
      </c>
      <c r="H35" s="176">
        <f>SUM(H28:H34)</f>
        <v>60</v>
      </c>
      <c r="I35" s="176">
        <f t="shared" ref="I35:X35" si="15">SUM(I28:I34)</f>
        <v>60</v>
      </c>
      <c r="J35" s="176">
        <f t="shared" si="15"/>
        <v>60</v>
      </c>
      <c r="K35" s="176">
        <f t="shared" si="15"/>
        <v>120</v>
      </c>
      <c r="L35" s="176">
        <f t="shared" si="15"/>
        <v>50</v>
      </c>
      <c r="M35" s="176">
        <f t="shared" si="15"/>
        <v>114</v>
      </c>
      <c r="N35" s="176">
        <f t="shared" si="15"/>
        <v>291</v>
      </c>
      <c r="O35" s="176">
        <f t="shared" si="15"/>
        <v>361</v>
      </c>
      <c r="P35" s="176">
        <f t="shared" si="15"/>
        <v>224</v>
      </c>
      <c r="Q35" s="176">
        <f t="shared" si="15"/>
        <v>378</v>
      </c>
      <c r="R35" s="176">
        <f t="shared" si="15"/>
        <v>542</v>
      </c>
      <c r="S35" s="176">
        <f t="shared" si="15"/>
        <v>292</v>
      </c>
      <c r="T35" s="176">
        <f t="shared" si="15"/>
        <v>538</v>
      </c>
      <c r="U35" s="176">
        <f t="shared" si="15"/>
        <v>580</v>
      </c>
      <c r="V35" s="176">
        <f t="shared" si="15"/>
        <v>597</v>
      </c>
      <c r="W35" s="176">
        <f t="shared" si="15"/>
        <v>502</v>
      </c>
      <c r="X35" s="176">
        <f t="shared" si="15"/>
        <v>549</v>
      </c>
      <c r="Y35" s="176"/>
      <c r="Z35" s="176"/>
      <c r="AA35" s="176">
        <f t="shared" si="13"/>
        <v>0</v>
      </c>
      <c r="AB35" s="176">
        <f t="shared" si="13"/>
        <v>0</v>
      </c>
      <c r="AC35" s="176">
        <f t="shared" si="13"/>
        <v>0</v>
      </c>
      <c r="AD35" s="176">
        <f t="shared" si="13"/>
        <v>0</v>
      </c>
      <c r="AE35" s="176">
        <f t="shared" si="13"/>
        <v>0</v>
      </c>
      <c r="AF35" s="176">
        <f t="shared" si="13"/>
        <v>0</v>
      </c>
      <c r="AG35" s="176">
        <f t="shared" si="13"/>
        <v>0</v>
      </c>
    </row>
    <row r="36" spans="5:33" s="135" customFormat="1" ht="14.65" thickTop="1">
      <c r="E36" s="136"/>
      <c r="F36" s="137"/>
      <c r="G36" s="137"/>
      <c r="K36" s="138"/>
      <c r="Q36" s="138"/>
      <c r="Y36" s="138"/>
    </row>
    <row r="37" spans="5:33" s="135" customFormat="1">
      <c r="E37" s="136"/>
      <c r="F37" s="137"/>
      <c r="G37" s="137"/>
      <c r="K37" s="138"/>
      <c r="Q37" s="138"/>
      <c r="Y37" s="138"/>
    </row>
    <row r="38" spans="5:33" s="135" customFormat="1">
      <c r="E38" s="136"/>
      <c r="F38" s="137"/>
      <c r="G38" s="89" t="s">
        <v>27</v>
      </c>
      <c r="H38" s="89" t="s">
        <v>212</v>
      </c>
      <c r="I38" s="89" t="s">
        <v>213</v>
      </c>
      <c r="J38" s="89" t="s">
        <v>214</v>
      </c>
      <c r="K38" s="89" t="s">
        <v>215</v>
      </c>
      <c r="L38" s="89" t="s">
        <v>216</v>
      </c>
      <c r="M38" s="89" t="s">
        <v>217</v>
      </c>
      <c r="N38" s="89" t="s">
        <v>218</v>
      </c>
      <c r="O38" s="89" t="s">
        <v>219</v>
      </c>
      <c r="P38" s="89" t="s">
        <v>220</v>
      </c>
      <c r="Q38" s="89" t="s">
        <v>221</v>
      </c>
      <c r="R38" s="89" t="s">
        <v>222</v>
      </c>
      <c r="S38" s="89" t="s">
        <v>223</v>
      </c>
      <c r="T38" s="89" t="s">
        <v>224</v>
      </c>
      <c r="U38" s="89" t="s">
        <v>225</v>
      </c>
      <c r="V38" s="89" t="s">
        <v>226</v>
      </c>
      <c r="W38" s="89" t="s">
        <v>227</v>
      </c>
      <c r="X38" s="89" t="s">
        <v>228</v>
      </c>
      <c r="Y38" s="89" t="s">
        <v>229</v>
      </c>
      <c r="Z38" s="89" t="s">
        <v>239</v>
      </c>
      <c r="AA38" s="89" t="s">
        <v>240</v>
      </c>
      <c r="AB38" s="89" t="s">
        <v>241</v>
      </c>
      <c r="AC38" s="89" t="s">
        <v>242</v>
      </c>
      <c r="AD38" s="89" t="s">
        <v>243</v>
      </c>
      <c r="AE38" s="89" t="s">
        <v>244</v>
      </c>
      <c r="AF38" s="89" t="s">
        <v>245</v>
      </c>
      <c r="AG38" s="89" t="s">
        <v>246</v>
      </c>
    </row>
    <row r="39" spans="5:33" s="135" customFormat="1">
      <c r="E39" s="136"/>
      <c r="F39" s="137"/>
      <c r="G39" s="174" t="str">
        <f>C2</f>
        <v>Nuqui</v>
      </c>
      <c r="H39" s="163">
        <f>H2</f>
        <v>50</v>
      </c>
      <c r="I39" s="163">
        <f>I2-H2</f>
        <v>50</v>
      </c>
      <c r="J39" s="163">
        <f t="shared" ref="J39:AG39" si="16">J2-I2</f>
        <v>50</v>
      </c>
      <c r="K39" s="163">
        <f t="shared" si="16"/>
        <v>50</v>
      </c>
      <c r="L39" s="163">
        <f t="shared" si="16"/>
        <v>70</v>
      </c>
      <c r="M39" s="163">
        <f t="shared" si="16"/>
        <v>50</v>
      </c>
      <c r="N39" s="163">
        <f t="shared" si="16"/>
        <v>30</v>
      </c>
      <c r="O39" s="163">
        <f t="shared" si="16"/>
        <v>20</v>
      </c>
      <c r="P39" s="163">
        <f t="shared" si="16"/>
        <v>10</v>
      </c>
      <c r="Q39" s="163">
        <f t="shared" si="16"/>
        <v>20</v>
      </c>
      <c r="R39" s="163">
        <f t="shared" si="16"/>
        <v>500</v>
      </c>
      <c r="S39" s="163">
        <f t="shared" si="16"/>
        <v>200</v>
      </c>
      <c r="T39" s="163">
        <f t="shared" si="16"/>
        <v>350</v>
      </c>
      <c r="U39" s="163">
        <f t="shared" si="16"/>
        <v>200</v>
      </c>
      <c r="V39" s="163">
        <f t="shared" si="16"/>
        <v>50</v>
      </c>
      <c r="W39" s="163">
        <f t="shared" si="16"/>
        <v>100</v>
      </c>
      <c r="X39" s="163">
        <f t="shared" si="16"/>
        <v>100</v>
      </c>
      <c r="Y39" s="163">
        <f t="shared" si="16"/>
        <v>136</v>
      </c>
      <c r="Z39" s="163"/>
      <c r="AA39" s="163">
        <f t="shared" si="16"/>
        <v>0</v>
      </c>
      <c r="AB39" s="163">
        <f t="shared" si="16"/>
        <v>0</v>
      </c>
      <c r="AC39" s="163">
        <f t="shared" si="16"/>
        <v>0</v>
      </c>
      <c r="AD39" s="163">
        <f t="shared" si="16"/>
        <v>0</v>
      </c>
      <c r="AE39" s="163">
        <f t="shared" si="16"/>
        <v>0</v>
      </c>
      <c r="AF39" s="163">
        <f t="shared" si="16"/>
        <v>0</v>
      </c>
      <c r="AG39" s="163">
        <f t="shared" si="16"/>
        <v>0</v>
      </c>
    </row>
    <row r="40" spans="5:33" s="135" customFormat="1">
      <c r="E40" s="136"/>
      <c r="F40" s="137"/>
      <c r="G40" s="174" t="str">
        <f>C4</f>
        <v>Maicao  Y Albania</v>
      </c>
      <c r="H40" s="163">
        <f>H4</f>
        <v>0</v>
      </c>
      <c r="I40" s="163">
        <f>I4-H4</f>
        <v>0</v>
      </c>
      <c r="J40" s="163">
        <f t="shared" ref="J40:AG40" si="17">J4-I4</f>
        <v>80</v>
      </c>
      <c r="K40" s="163">
        <f t="shared" si="17"/>
        <v>160</v>
      </c>
      <c r="L40" s="163">
        <f t="shared" si="17"/>
        <v>160</v>
      </c>
      <c r="M40" s="163">
        <f t="shared" si="17"/>
        <v>80</v>
      </c>
      <c r="N40" s="163">
        <f t="shared" si="17"/>
        <v>80</v>
      </c>
      <c r="O40" s="163">
        <f t="shared" si="17"/>
        <v>80</v>
      </c>
      <c r="P40" s="163">
        <f t="shared" si="17"/>
        <v>80</v>
      </c>
      <c r="Q40" s="163">
        <f t="shared" si="17"/>
        <v>80</v>
      </c>
      <c r="R40" s="163">
        <f t="shared" si="17"/>
        <v>160</v>
      </c>
      <c r="S40" s="163">
        <f t="shared" si="17"/>
        <v>240</v>
      </c>
      <c r="T40" s="163">
        <f t="shared" si="17"/>
        <v>150</v>
      </c>
      <c r="U40" s="163">
        <f t="shared" si="17"/>
        <v>800</v>
      </c>
      <c r="V40" s="163">
        <f t="shared" si="17"/>
        <v>800</v>
      </c>
      <c r="W40" s="163">
        <f t="shared" si="17"/>
        <v>800</v>
      </c>
      <c r="X40" s="163">
        <f t="shared" si="17"/>
        <v>800</v>
      </c>
      <c r="Y40" s="163">
        <f t="shared" si="17"/>
        <v>800</v>
      </c>
      <c r="Z40" s="163">
        <f t="shared" si="17"/>
        <v>800</v>
      </c>
      <c r="AA40" s="163">
        <f t="shared" si="17"/>
        <v>800</v>
      </c>
      <c r="AB40" s="163">
        <f t="shared" si="17"/>
        <v>800</v>
      </c>
      <c r="AC40" s="163">
        <f t="shared" si="17"/>
        <v>800</v>
      </c>
      <c r="AD40" s="163">
        <f t="shared" si="17"/>
        <v>800</v>
      </c>
      <c r="AE40" s="163">
        <f t="shared" si="17"/>
        <v>450</v>
      </c>
      <c r="AF40" s="163">
        <f t="shared" si="17"/>
        <v>430</v>
      </c>
      <c r="AG40" s="163">
        <f t="shared" si="17"/>
        <v>434</v>
      </c>
    </row>
    <row r="41" spans="5:33" s="135" customFormat="1" ht="14.65" thickBot="1">
      <c r="E41" s="136"/>
      <c r="F41" s="137"/>
      <c r="G41" s="175" t="s">
        <v>211</v>
      </c>
      <c r="H41" s="176">
        <f t="shared" ref="H41:X41" si="18">SUM(H39:H40)</f>
        <v>50</v>
      </c>
      <c r="I41" s="176">
        <f t="shared" si="18"/>
        <v>50</v>
      </c>
      <c r="J41" s="176">
        <f t="shared" si="18"/>
        <v>130</v>
      </c>
      <c r="K41" s="176">
        <f t="shared" si="18"/>
        <v>210</v>
      </c>
      <c r="L41" s="176">
        <f t="shared" si="18"/>
        <v>230</v>
      </c>
      <c r="M41" s="176">
        <f t="shared" si="18"/>
        <v>130</v>
      </c>
      <c r="N41" s="176">
        <f t="shared" si="18"/>
        <v>110</v>
      </c>
      <c r="O41" s="176">
        <f t="shared" si="18"/>
        <v>100</v>
      </c>
      <c r="P41" s="176">
        <f t="shared" si="18"/>
        <v>90</v>
      </c>
      <c r="Q41" s="176">
        <f t="shared" si="18"/>
        <v>100</v>
      </c>
      <c r="R41" s="176">
        <f t="shared" si="18"/>
        <v>660</v>
      </c>
      <c r="S41" s="176">
        <f t="shared" si="18"/>
        <v>440</v>
      </c>
      <c r="T41" s="176">
        <f t="shared" si="18"/>
        <v>500</v>
      </c>
      <c r="U41" s="176">
        <f t="shared" si="18"/>
        <v>1000</v>
      </c>
      <c r="V41" s="176">
        <f t="shared" si="18"/>
        <v>850</v>
      </c>
      <c r="W41" s="176">
        <f t="shared" si="18"/>
        <v>900</v>
      </c>
      <c r="X41" s="176">
        <f t="shared" si="18"/>
        <v>900</v>
      </c>
      <c r="Y41" s="176"/>
      <c r="Z41" s="176"/>
      <c r="AA41" s="176">
        <f t="shared" ref="AA41:AG41" si="19">AA23-Z23</f>
        <v>0</v>
      </c>
      <c r="AB41" s="176">
        <f t="shared" si="19"/>
        <v>0</v>
      </c>
      <c r="AC41" s="176">
        <f t="shared" si="19"/>
        <v>0</v>
      </c>
      <c r="AD41" s="176">
        <f t="shared" si="19"/>
        <v>0</v>
      </c>
      <c r="AE41" s="176">
        <f t="shared" si="19"/>
        <v>0</v>
      </c>
      <c r="AF41" s="176">
        <f t="shared" si="19"/>
        <v>0</v>
      </c>
      <c r="AG41" s="176">
        <f t="shared" si="19"/>
        <v>0</v>
      </c>
    </row>
    <row r="42" spans="5:33" s="135" customFormat="1" ht="14.65" thickTop="1">
      <c r="E42" s="136"/>
      <c r="F42" s="137"/>
      <c r="G42" s="137"/>
      <c r="K42" s="138"/>
      <c r="Q42" s="138"/>
      <c r="Y42" s="138"/>
    </row>
    <row r="43" spans="5:33" s="135" customFormat="1">
      <c r="E43" s="136"/>
      <c r="F43" s="137"/>
      <c r="G43" s="137"/>
      <c r="K43" s="138"/>
      <c r="Q43" s="138"/>
      <c r="Y43" s="138"/>
    </row>
    <row r="44" spans="5:33" s="135" customFormat="1">
      <c r="E44" s="136"/>
      <c r="F44" s="137"/>
      <c r="G44" s="89" t="s">
        <v>18</v>
      </c>
      <c r="H44" s="89" t="s">
        <v>212</v>
      </c>
      <c r="I44" s="89" t="s">
        <v>213</v>
      </c>
      <c r="J44" s="89" t="s">
        <v>214</v>
      </c>
      <c r="K44" s="89" t="s">
        <v>215</v>
      </c>
      <c r="L44" s="89" t="s">
        <v>216</v>
      </c>
      <c r="M44" s="89" t="s">
        <v>217</v>
      </c>
      <c r="N44" s="89" t="s">
        <v>218</v>
      </c>
      <c r="O44" s="89" t="s">
        <v>219</v>
      </c>
      <c r="P44" s="89" t="s">
        <v>220</v>
      </c>
      <c r="Q44" s="89" t="s">
        <v>221</v>
      </c>
      <c r="R44" s="89" t="s">
        <v>222</v>
      </c>
      <c r="S44" s="89" t="s">
        <v>223</v>
      </c>
      <c r="T44" s="89" t="s">
        <v>224</v>
      </c>
      <c r="U44" s="89" t="s">
        <v>225</v>
      </c>
      <c r="V44" s="89" t="s">
        <v>226</v>
      </c>
      <c r="W44" s="89" t="s">
        <v>227</v>
      </c>
      <c r="X44" s="89" t="s">
        <v>228</v>
      </c>
      <c r="Y44" s="89" t="s">
        <v>229</v>
      </c>
      <c r="Z44" s="89" t="s">
        <v>239</v>
      </c>
      <c r="AA44" s="89" t="s">
        <v>240</v>
      </c>
      <c r="AB44" s="89" t="s">
        <v>241</v>
      </c>
      <c r="AC44" s="89" t="s">
        <v>242</v>
      </c>
      <c r="AD44" s="89" t="s">
        <v>243</v>
      </c>
      <c r="AE44" s="89" t="s">
        <v>244</v>
      </c>
      <c r="AF44" s="89" t="s">
        <v>245</v>
      </c>
      <c r="AG44" s="89" t="s">
        <v>246</v>
      </c>
    </row>
    <row r="45" spans="5:33" s="135" customFormat="1">
      <c r="E45" s="136"/>
      <c r="F45" s="137"/>
      <c r="G45" s="174" t="str">
        <f>C3</f>
        <v>Bahia Solano</v>
      </c>
      <c r="H45" s="163">
        <f>H3</f>
        <v>0</v>
      </c>
      <c r="I45" s="163">
        <f>I3-H3</f>
        <v>0</v>
      </c>
      <c r="J45" s="163">
        <f t="shared" ref="J45:AG45" si="20">J3-I3</f>
        <v>0</v>
      </c>
      <c r="K45" s="163">
        <f t="shared" si="20"/>
        <v>0</v>
      </c>
      <c r="L45" s="163">
        <f t="shared" si="20"/>
        <v>0</v>
      </c>
      <c r="M45" s="163">
        <f t="shared" si="20"/>
        <v>0</v>
      </c>
      <c r="N45" s="163">
        <f t="shared" si="20"/>
        <v>0</v>
      </c>
      <c r="O45" s="163">
        <f t="shared" si="20"/>
        <v>0</v>
      </c>
      <c r="P45" s="163">
        <f t="shared" si="20"/>
        <v>20</v>
      </c>
      <c r="Q45" s="163">
        <f t="shared" si="20"/>
        <v>25</v>
      </c>
      <c r="R45" s="163">
        <f t="shared" si="20"/>
        <v>70</v>
      </c>
      <c r="S45" s="163">
        <f t="shared" si="20"/>
        <v>85</v>
      </c>
      <c r="T45" s="163">
        <f t="shared" si="20"/>
        <v>30</v>
      </c>
      <c r="U45" s="163">
        <f t="shared" si="20"/>
        <v>10</v>
      </c>
      <c r="V45" s="163">
        <f t="shared" si="20"/>
        <v>50</v>
      </c>
      <c r="W45" s="163">
        <f t="shared" si="20"/>
        <v>60</v>
      </c>
      <c r="X45" s="163">
        <f t="shared" si="20"/>
        <v>20</v>
      </c>
      <c r="Y45" s="163">
        <f t="shared" si="20"/>
        <v>30</v>
      </c>
      <c r="Z45" s="163">
        <f t="shared" si="20"/>
        <v>25</v>
      </c>
      <c r="AA45" s="163">
        <f t="shared" si="20"/>
        <v>100</v>
      </c>
      <c r="AB45" s="163">
        <f t="shared" si="20"/>
        <v>250</v>
      </c>
      <c r="AC45" s="163">
        <f t="shared" si="20"/>
        <v>250</v>
      </c>
      <c r="AD45" s="163">
        <f t="shared" si="20"/>
        <v>250</v>
      </c>
      <c r="AE45" s="163">
        <f t="shared" si="20"/>
        <v>600</v>
      </c>
      <c r="AF45" s="163">
        <f t="shared" si="20"/>
        <v>100</v>
      </c>
      <c r="AG45" s="163">
        <f t="shared" si="20"/>
        <v>320</v>
      </c>
    </row>
    <row r="46" spans="5:33" s="135" customFormat="1">
      <c r="E46" s="136"/>
      <c r="F46" s="137"/>
      <c r="G46" s="174" t="str">
        <f>C10</f>
        <v>La Uribe</v>
      </c>
      <c r="H46" s="163">
        <f>H10</f>
        <v>0</v>
      </c>
      <c r="I46" s="163">
        <f>I10-H10</f>
        <v>0</v>
      </c>
      <c r="J46" s="163">
        <f t="shared" ref="J46:AG46" si="21">J10-I10</f>
        <v>0</v>
      </c>
      <c r="K46" s="163">
        <f t="shared" si="21"/>
        <v>0</v>
      </c>
      <c r="L46" s="163">
        <f t="shared" si="21"/>
        <v>0</v>
      </c>
      <c r="M46" s="163">
        <f t="shared" si="21"/>
        <v>0</v>
      </c>
      <c r="N46" s="163">
        <f t="shared" si="21"/>
        <v>0</v>
      </c>
      <c r="O46" s="163">
        <f t="shared" si="21"/>
        <v>0</v>
      </c>
      <c r="P46" s="163">
        <f t="shared" si="21"/>
        <v>60</v>
      </c>
      <c r="Q46" s="163">
        <f t="shared" si="21"/>
        <v>25</v>
      </c>
      <c r="R46" s="163">
        <f t="shared" si="21"/>
        <v>70</v>
      </c>
      <c r="S46" s="163">
        <f t="shared" si="21"/>
        <v>45</v>
      </c>
      <c r="T46" s="163">
        <f t="shared" si="21"/>
        <v>25</v>
      </c>
      <c r="U46" s="163">
        <f t="shared" si="21"/>
        <v>10</v>
      </c>
      <c r="V46" s="163">
        <f t="shared" si="21"/>
        <v>50</v>
      </c>
      <c r="W46" s="163">
        <f t="shared" si="21"/>
        <v>60</v>
      </c>
      <c r="X46" s="163">
        <f t="shared" si="21"/>
        <v>20</v>
      </c>
      <c r="Y46" s="163">
        <f t="shared" si="21"/>
        <v>35</v>
      </c>
      <c r="Z46" s="163">
        <f t="shared" si="21"/>
        <v>50</v>
      </c>
      <c r="AA46" s="163">
        <f t="shared" si="21"/>
        <v>10</v>
      </c>
      <c r="AB46" s="163">
        <f t="shared" si="21"/>
        <v>20</v>
      </c>
      <c r="AC46" s="163">
        <f t="shared" si="21"/>
        <v>100</v>
      </c>
      <c r="AD46" s="163">
        <f t="shared" si="21"/>
        <v>200</v>
      </c>
      <c r="AE46" s="163">
        <f t="shared" si="21"/>
        <v>10</v>
      </c>
      <c r="AF46" s="163">
        <f t="shared" si="21"/>
        <v>20</v>
      </c>
      <c r="AG46" s="163">
        <f t="shared" si="21"/>
        <v>193</v>
      </c>
    </row>
    <row r="47" spans="5:33" s="135" customFormat="1">
      <c r="E47" s="136"/>
      <c r="F47" s="137"/>
      <c r="G47" s="174" t="str">
        <f t="shared" ref="G47:G52" si="22">C13</f>
        <v>Uribia</v>
      </c>
      <c r="H47" s="163">
        <f t="shared" ref="H47:H52" si="23">H13</f>
        <v>0</v>
      </c>
      <c r="I47" s="163">
        <f>I13-H13</f>
        <v>0</v>
      </c>
      <c r="J47" s="163">
        <f t="shared" ref="J47:AG52" si="24">J13-I13</f>
        <v>0</v>
      </c>
      <c r="K47" s="163">
        <f t="shared" si="24"/>
        <v>0</v>
      </c>
      <c r="L47" s="163">
        <f t="shared" si="24"/>
        <v>0</v>
      </c>
      <c r="M47" s="163">
        <f t="shared" si="24"/>
        <v>0</v>
      </c>
      <c r="N47" s="163">
        <f t="shared" si="24"/>
        <v>0</v>
      </c>
      <c r="O47" s="163">
        <f t="shared" si="24"/>
        <v>0</v>
      </c>
      <c r="P47" s="163">
        <f t="shared" si="24"/>
        <v>60</v>
      </c>
      <c r="Q47" s="163">
        <f t="shared" si="24"/>
        <v>25</v>
      </c>
      <c r="R47" s="163">
        <f t="shared" si="24"/>
        <v>70</v>
      </c>
      <c r="S47" s="163">
        <f t="shared" si="24"/>
        <v>45</v>
      </c>
      <c r="T47" s="163">
        <f t="shared" si="24"/>
        <v>10</v>
      </c>
      <c r="U47" s="163">
        <f t="shared" si="24"/>
        <v>10</v>
      </c>
      <c r="V47" s="163">
        <f t="shared" si="24"/>
        <v>50</v>
      </c>
      <c r="W47" s="163">
        <f t="shared" si="24"/>
        <v>60</v>
      </c>
      <c r="X47" s="163">
        <f t="shared" si="24"/>
        <v>20</v>
      </c>
      <c r="Y47" s="163">
        <f t="shared" si="24"/>
        <v>50</v>
      </c>
      <c r="Z47" s="163">
        <f t="shared" si="24"/>
        <v>100</v>
      </c>
      <c r="AA47" s="163">
        <f t="shared" si="24"/>
        <v>10</v>
      </c>
      <c r="AB47" s="163">
        <f t="shared" si="24"/>
        <v>20</v>
      </c>
      <c r="AC47" s="163">
        <f t="shared" si="24"/>
        <v>100</v>
      </c>
      <c r="AD47" s="163">
        <f t="shared" si="24"/>
        <v>200</v>
      </c>
      <c r="AE47" s="163">
        <f t="shared" si="24"/>
        <v>10</v>
      </c>
      <c r="AF47" s="163">
        <f t="shared" si="24"/>
        <v>20</v>
      </c>
      <c r="AG47" s="163">
        <f t="shared" si="24"/>
        <v>140</v>
      </c>
    </row>
    <row r="48" spans="5:33" s="135" customFormat="1">
      <c r="E48" s="136"/>
      <c r="F48" s="137"/>
      <c r="G48" s="174" t="str">
        <f t="shared" si="22"/>
        <v>San Miguel</v>
      </c>
      <c r="H48" s="163">
        <f t="shared" si="23"/>
        <v>0</v>
      </c>
      <c r="I48" s="163">
        <f t="shared" ref="I48:X52" si="25">I14-H14</f>
        <v>0</v>
      </c>
      <c r="J48" s="163">
        <f t="shared" si="25"/>
        <v>0</v>
      </c>
      <c r="K48" s="163">
        <f t="shared" si="25"/>
        <v>0</v>
      </c>
      <c r="L48" s="163">
        <f t="shared" si="25"/>
        <v>0</v>
      </c>
      <c r="M48" s="163">
        <f t="shared" si="25"/>
        <v>0</v>
      </c>
      <c r="N48" s="163">
        <f t="shared" si="25"/>
        <v>0</v>
      </c>
      <c r="O48" s="163">
        <f t="shared" si="25"/>
        <v>0</v>
      </c>
      <c r="P48" s="163">
        <f t="shared" si="25"/>
        <v>20</v>
      </c>
      <c r="Q48" s="163">
        <f t="shared" si="25"/>
        <v>15</v>
      </c>
      <c r="R48" s="163">
        <f t="shared" si="25"/>
        <v>10</v>
      </c>
      <c r="S48" s="163">
        <f t="shared" si="25"/>
        <v>5</v>
      </c>
      <c r="T48" s="163">
        <f t="shared" si="25"/>
        <v>10</v>
      </c>
      <c r="U48" s="163">
        <f t="shared" si="25"/>
        <v>2</v>
      </c>
      <c r="V48" s="163">
        <f t="shared" si="25"/>
        <v>8</v>
      </c>
      <c r="W48" s="163">
        <f t="shared" si="25"/>
        <v>5</v>
      </c>
      <c r="X48" s="163">
        <f t="shared" si="25"/>
        <v>20</v>
      </c>
      <c r="Y48" s="163">
        <f t="shared" si="24"/>
        <v>15</v>
      </c>
      <c r="Z48" s="163">
        <f t="shared" si="24"/>
        <v>10</v>
      </c>
      <c r="AA48" s="163">
        <f t="shared" si="24"/>
        <v>10</v>
      </c>
      <c r="AB48" s="163">
        <f t="shared" si="24"/>
        <v>20</v>
      </c>
      <c r="AC48" s="163">
        <f t="shared" si="24"/>
        <v>25</v>
      </c>
      <c r="AD48" s="163">
        <f t="shared" si="24"/>
        <v>5</v>
      </c>
      <c r="AE48" s="163">
        <f t="shared" si="24"/>
        <v>5</v>
      </c>
      <c r="AF48" s="163">
        <f t="shared" si="24"/>
        <v>15</v>
      </c>
      <c r="AG48" s="163">
        <f t="shared" si="24"/>
        <v>17</v>
      </c>
    </row>
    <row r="49" spans="5:33" s="135" customFormat="1">
      <c r="E49" s="136"/>
      <c r="F49" s="137"/>
      <c r="G49" s="174" t="str">
        <f t="shared" si="22"/>
        <v>Valle Del Guamuez</v>
      </c>
      <c r="H49" s="163">
        <f t="shared" si="23"/>
        <v>0</v>
      </c>
      <c r="I49" s="163">
        <f t="shared" si="25"/>
        <v>0</v>
      </c>
      <c r="J49" s="163">
        <f t="shared" si="24"/>
        <v>0</v>
      </c>
      <c r="K49" s="163">
        <f t="shared" si="24"/>
        <v>0</v>
      </c>
      <c r="L49" s="163">
        <f t="shared" si="24"/>
        <v>0</v>
      </c>
      <c r="M49" s="163">
        <f t="shared" si="24"/>
        <v>0</v>
      </c>
      <c r="N49" s="163">
        <f t="shared" si="24"/>
        <v>0</v>
      </c>
      <c r="O49" s="163">
        <f t="shared" si="24"/>
        <v>0</v>
      </c>
      <c r="P49" s="163">
        <f t="shared" si="24"/>
        <v>10</v>
      </c>
      <c r="Q49" s="163">
        <f t="shared" si="24"/>
        <v>25</v>
      </c>
      <c r="R49" s="163">
        <f t="shared" si="24"/>
        <v>70</v>
      </c>
      <c r="S49" s="163">
        <f t="shared" si="24"/>
        <v>95</v>
      </c>
      <c r="T49" s="163">
        <f t="shared" si="24"/>
        <v>20</v>
      </c>
      <c r="U49" s="163">
        <f t="shared" si="24"/>
        <v>10</v>
      </c>
      <c r="V49" s="163">
        <f t="shared" si="24"/>
        <v>50</v>
      </c>
      <c r="W49" s="163">
        <f t="shared" si="24"/>
        <v>60</v>
      </c>
      <c r="X49" s="163">
        <f t="shared" si="24"/>
        <v>20</v>
      </c>
      <c r="Y49" s="163">
        <f t="shared" si="24"/>
        <v>40</v>
      </c>
      <c r="Z49" s="163">
        <f t="shared" si="24"/>
        <v>20</v>
      </c>
      <c r="AA49" s="163">
        <f t="shared" si="24"/>
        <v>10</v>
      </c>
      <c r="AB49" s="163">
        <f t="shared" si="24"/>
        <v>10</v>
      </c>
      <c r="AC49" s="163">
        <f t="shared" si="24"/>
        <v>50</v>
      </c>
      <c r="AD49" s="163">
        <f t="shared" si="24"/>
        <v>110</v>
      </c>
      <c r="AE49" s="163">
        <f t="shared" si="24"/>
        <v>10</v>
      </c>
      <c r="AF49" s="163">
        <f t="shared" si="24"/>
        <v>20</v>
      </c>
      <c r="AG49" s="163">
        <f t="shared" si="24"/>
        <v>89</v>
      </c>
    </row>
    <row r="50" spans="5:33" s="135" customFormat="1">
      <c r="E50" s="136"/>
      <c r="F50" s="137"/>
      <c r="G50" s="174" t="str">
        <f t="shared" si="22"/>
        <v>Villa Garzon</v>
      </c>
      <c r="H50" s="163">
        <f t="shared" si="23"/>
        <v>0</v>
      </c>
      <c r="I50" s="163">
        <f t="shared" si="25"/>
        <v>0</v>
      </c>
      <c r="J50" s="163">
        <f t="shared" si="24"/>
        <v>0</v>
      </c>
      <c r="K50" s="163">
        <f t="shared" si="24"/>
        <v>0</v>
      </c>
      <c r="L50" s="163">
        <f t="shared" si="24"/>
        <v>0</v>
      </c>
      <c r="M50" s="163">
        <f t="shared" si="24"/>
        <v>0</v>
      </c>
      <c r="N50" s="163">
        <f t="shared" si="24"/>
        <v>0</v>
      </c>
      <c r="O50" s="163">
        <f t="shared" si="24"/>
        <v>0</v>
      </c>
      <c r="P50" s="163">
        <f t="shared" si="24"/>
        <v>10</v>
      </c>
      <c r="Q50" s="163">
        <f t="shared" si="24"/>
        <v>10</v>
      </c>
      <c r="R50" s="163">
        <f t="shared" si="24"/>
        <v>10</v>
      </c>
      <c r="S50" s="163">
        <f t="shared" si="24"/>
        <v>20</v>
      </c>
      <c r="T50" s="163">
        <f t="shared" si="24"/>
        <v>10</v>
      </c>
      <c r="U50" s="163">
        <f t="shared" si="24"/>
        <v>10</v>
      </c>
      <c r="V50" s="163">
        <f t="shared" si="24"/>
        <v>10</v>
      </c>
      <c r="W50" s="163">
        <f t="shared" si="24"/>
        <v>5</v>
      </c>
      <c r="X50" s="163">
        <f t="shared" si="24"/>
        <v>5</v>
      </c>
      <c r="Y50" s="163">
        <f t="shared" si="24"/>
        <v>10</v>
      </c>
      <c r="Z50" s="163">
        <f t="shared" si="24"/>
        <v>10</v>
      </c>
      <c r="AA50" s="163">
        <f t="shared" si="24"/>
        <v>10</v>
      </c>
      <c r="AB50" s="163">
        <f t="shared" si="24"/>
        <v>10</v>
      </c>
      <c r="AC50" s="163">
        <f t="shared" si="24"/>
        <v>20</v>
      </c>
      <c r="AD50" s="163">
        <f t="shared" si="24"/>
        <v>10</v>
      </c>
      <c r="AE50" s="163">
        <f t="shared" si="24"/>
        <v>20</v>
      </c>
      <c r="AF50" s="163">
        <f t="shared" si="24"/>
        <v>5</v>
      </c>
      <c r="AG50" s="163">
        <f t="shared" si="24"/>
        <v>108</v>
      </c>
    </row>
    <row r="51" spans="5:33" s="135" customFormat="1">
      <c r="E51" s="136"/>
      <c r="F51" s="137"/>
      <c r="G51" s="174" t="str">
        <f t="shared" si="22"/>
        <v>Puerto Guzman</v>
      </c>
      <c r="H51" s="163">
        <f t="shared" si="23"/>
        <v>0</v>
      </c>
      <c r="I51" s="163">
        <f t="shared" si="25"/>
        <v>0</v>
      </c>
      <c r="J51" s="163">
        <f t="shared" si="24"/>
        <v>0</v>
      </c>
      <c r="K51" s="163">
        <f t="shared" si="24"/>
        <v>0</v>
      </c>
      <c r="L51" s="163">
        <f t="shared" si="24"/>
        <v>0</v>
      </c>
      <c r="M51" s="163">
        <f t="shared" si="24"/>
        <v>0</v>
      </c>
      <c r="N51" s="163">
        <f t="shared" si="24"/>
        <v>0</v>
      </c>
      <c r="O51" s="163">
        <f t="shared" si="24"/>
        <v>0</v>
      </c>
      <c r="P51" s="163">
        <f t="shared" si="24"/>
        <v>60</v>
      </c>
      <c r="Q51" s="163">
        <f t="shared" si="24"/>
        <v>25</v>
      </c>
      <c r="R51" s="163">
        <f t="shared" si="24"/>
        <v>70</v>
      </c>
      <c r="S51" s="163">
        <f t="shared" si="24"/>
        <v>45</v>
      </c>
      <c r="T51" s="163">
        <f t="shared" si="24"/>
        <v>25</v>
      </c>
      <c r="U51" s="163">
        <f t="shared" si="24"/>
        <v>10</v>
      </c>
      <c r="V51" s="163">
        <f t="shared" si="24"/>
        <v>50</v>
      </c>
      <c r="W51" s="163">
        <f t="shared" si="24"/>
        <v>60</v>
      </c>
      <c r="X51" s="163">
        <f t="shared" si="24"/>
        <v>20</v>
      </c>
      <c r="Y51" s="163">
        <f t="shared" si="24"/>
        <v>-65</v>
      </c>
      <c r="Z51" s="163">
        <f t="shared" si="24"/>
        <v>20</v>
      </c>
      <c r="AA51" s="163">
        <f t="shared" si="24"/>
        <v>10</v>
      </c>
      <c r="AB51" s="163">
        <f t="shared" si="24"/>
        <v>10</v>
      </c>
      <c r="AC51" s="163">
        <f t="shared" si="24"/>
        <v>50</v>
      </c>
      <c r="AD51" s="163">
        <f t="shared" si="24"/>
        <v>110</v>
      </c>
      <c r="AE51" s="163">
        <f t="shared" si="24"/>
        <v>10</v>
      </c>
      <c r="AF51" s="163">
        <f t="shared" si="24"/>
        <v>20</v>
      </c>
      <c r="AG51" s="163">
        <f t="shared" si="24"/>
        <v>247</v>
      </c>
    </row>
    <row r="52" spans="5:33" s="135" customFormat="1">
      <c r="E52" s="136"/>
      <c r="F52" s="137"/>
      <c r="G52" s="174" t="str">
        <f t="shared" si="22"/>
        <v>Cartagena Del Chaira</v>
      </c>
      <c r="H52" s="163">
        <f t="shared" si="23"/>
        <v>0</v>
      </c>
      <c r="I52" s="163">
        <f t="shared" si="25"/>
        <v>0</v>
      </c>
      <c r="J52" s="163">
        <f t="shared" si="24"/>
        <v>0</v>
      </c>
      <c r="K52" s="163">
        <f t="shared" si="24"/>
        <v>0</v>
      </c>
      <c r="L52" s="163">
        <f t="shared" si="24"/>
        <v>0</v>
      </c>
      <c r="M52" s="163">
        <f t="shared" si="24"/>
        <v>0</v>
      </c>
      <c r="N52" s="163">
        <f t="shared" si="24"/>
        <v>0</v>
      </c>
      <c r="O52" s="163">
        <f t="shared" si="24"/>
        <v>0</v>
      </c>
      <c r="P52" s="163">
        <f t="shared" si="24"/>
        <v>35</v>
      </c>
      <c r="Q52" s="163">
        <f t="shared" si="24"/>
        <v>25</v>
      </c>
      <c r="R52" s="163">
        <f t="shared" si="24"/>
        <v>70</v>
      </c>
      <c r="S52" s="163">
        <f t="shared" si="24"/>
        <v>70</v>
      </c>
      <c r="T52" s="163">
        <f t="shared" si="24"/>
        <v>20</v>
      </c>
      <c r="U52" s="163">
        <f t="shared" si="24"/>
        <v>10</v>
      </c>
      <c r="V52" s="163">
        <f t="shared" si="24"/>
        <v>50</v>
      </c>
      <c r="W52" s="163">
        <f t="shared" si="24"/>
        <v>60</v>
      </c>
      <c r="X52" s="163">
        <f t="shared" si="24"/>
        <v>20</v>
      </c>
      <c r="Y52" s="163">
        <f t="shared" si="24"/>
        <v>-60</v>
      </c>
      <c r="Z52" s="163">
        <f t="shared" si="24"/>
        <v>10</v>
      </c>
      <c r="AA52" s="163">
        <f t="shared" si="24"/>
        <v>10</v>
      </c>
      <c r="AB52" s="163">
        <f t="shared" si="24"/>
        <v>10</v>
      </c>
      <c r="AC52" s="163">
        <f t="shared" si="24"/>
        <v>50</v>
      </c>
      <c r="AD52" s="163">
        <f t="shared" si="24"/>
        <v>110</v>
      </c>
      <c r="AE52" s="163">
        <f t="shared" si="24"/>
        <v>10</v>
      </c>
      <c r="AF52" s="163">
        <f t="shared" si="24"/>
        <v>20</v>
      </c>
      <c r="AG52" s="163">
        <f t="shared" si="24"/>
        <v>235</v>
      </c>
    </row>
    <row r="53" spans="5:33" s="135" customFormat="1" ht="14.65" thickBot="1">
      <c r="E53" s="136"/>
      <c r="F53" s="137"/>
      <c r="G53" s="175" t="s">
        <v>211</v>
      </c>
      <c r="H53" s="176">
        <f>SUM(H46:H52)</f>
        <v>0</v>
      </c>
      <c r="I53" s="176">
        <f t="shared" ref="I53:AG53" si="26">SUM(I46:I52)</f>
        <v>0</v>
      </c>
      <c r="J53" s="176">
        <f t="shared" si="26"/>
        <v>0</v>
      </c>
      <c r="K53" s="176">
        <f t="shared" si="26"/>
        <v>0</v>
      </c>
      <c r="L53" s="176">
        <f t="shared" si="26"/>
        <v>0</v>
      </c>
      <c r="M53" s="176">
        <f t="shared" si="26"/>
        <v>0</v>
      </c>
      <c r="N53" s="176">
        <f t="shared" si="26"/>
        <v>0</v>
      </c>
      <c r="O53" s="176">
        <f t="shared" si="26"/>
        <v>0</v>
      </c>
      <c r="P53" s="176">
        <f t="shared" si="26"/>
        <v>255</v>
      </c>
      <c r="Q53" s="176">
        <f t="shared" si="26"/>
        <v>150</v>
      </c>
      <c r="R53" s="176">
        <f t="shared" si="26"/>
        <v>370</v>
      </c>
      <c r="S53" s="176">
        <f t="shared" si="26"/>
        <v>325</v>
      </c>
      <c r="T53" s="176">
        <f t="shared" si="26"/>
        <v>120</v>
      </c>
      <c r="U53" s="176">
        <f t="shared" si="26"/>
        <v>62</v>
      </c>
      <c r="V53" s="176">
        <f t="shared" si="26"/>
        <v>268</v>
      </c>
      <c r="W53" s="176">
        <f t="shared" si="26"/>
        <v>310</v>
      </c>
      <c r="X53" s="176">
        <f t="shared" si="26"/>
        <v>125</v>
      </c>
      <c r="Y53" s="176">
        <f t="shared" si="26"/>
        <v>25</v>
      </c>
      <c r="Z53" s="176">
        <f t="shared" si="26"/>
        <v>220</v>
      </c>
      <c r="AA53" s="176">
        <f t="shared" si="26"/>
        <v>70</v>
      </c>
      <c r="AB53" s="176">
        <f t="shared" si="26"/>
        <v>100</v>
      </c>
      <c r="AC53" s="176">
        <f t="shared" si="26"/>
        <v>395</v>
      </c>
      <c r="AD53" s="176">
        <f t="shared" si="26"/>
        <v>745</v>
      </c>
      <c r="AE53" s="176">
        <f t="shared" si="26"/>
        <v>75</v>
      </c>
      <c r="AF53" s="176">
        <f t="shared" si="26"/>
        <v>120</v>
      </c>
      <c r="AG53" s="176">
        <f t="shared" si="26"/>
        <v>1029</v>
      </c>
    </row>
    <row r="54" spans="5:33" s="135" customFormat="1" ht="14.65" thickTop="1">
      <c r="E54" s="136"/>
      <c r="F54" s="137"/>
      <c r="G54" s="137"/>
      <c r="K54" s="138"/>
      <c r="Q54" s="138"/>
      <c r="Y54" s="138"/>
    </row>
    <row r="55" spans="5:33" s="135" customFormat="1">
      <c r="E55" s="136"/>
      <c r="F55" s="137"/>
      <c r="G55" s="137"/>
      <c r="K55" s="138"/>
      <c r="Q55" s="138"/>
      <c r="Y55" s="138"/>
    </row>
    <row r="56" spans="5:33" s="135" customFormat="1">
      <c r="E56" s="136"/>
      <c r="F56" s="137"/>
      <c r="G56" s="89" t="s">
        <v>183</v>
      </c>
      <c r="H56" s="89" t="s">
        <v>212</v>
      </c>
      <c r="I56" s="89" t="s">
        <v>213</v>
      </c>
      <c r="J56" s="89" t="s">
        <v>214</v>
      </c>
      <c r="K56" s="89" t="s">
        <v>215</v>
      </c>
      <c r="L56" s="89" t="s">
        <v>216</v>
      </c>
      <c r="M56" s="89" t="s">
        <v>217</v>
      </c>
      <c r="N56" s="89" t="s">
        <v>218</v>
      </c>
      <c r="O56" s="89" t="s">
        <v>219</v>
      </c>
      <c r="P56" s="89" t="s">
        <v>220</v>
      </c>
      <c r="Q56" s="89" t="s">
        <v>221</v>
      </c>
      <c r="R56" s="89" t="s">
        <v>222</v>
      </c>
      <c r="S56" s="89" t="s">
        <v>223</v>
      </c>
      <c r="T56" s="89" t="s">
        <v>224</v>
      </c>
      <c r="U56" s="89" t="s">
        <v>225</v>
      </c>
      <c r="V56" s="89" t="s">
        <v>226</v>
      </c>
      <c r="W56" s="89" t="s">
        <v>227</v>
      </c>
      <c r="X56" s="89" t="s">
        <v>228</v>
      </c>
      <c r="Y56" s="89" t="s">
        <v>229</v>
      </c>
      <c r="Z56" s="89" t="s">
        <v>239</v>
      </c>
      <c r="AA56" s="89" t="s">
        <v>240</v>
      </c>
      <c r="AB56" s="89" t="s">
        <v>241</v>
      </c>
      <c r="AC56" s="89" t="s">
        <v>242</v>
      </c>
      <c r="AD56" s="89" t="s">
        <v>243</v>
      </c>
      <c r="AE56" s="89" t="s">
        <v>244</v>
      </c>
      <c r="AF56" s="89" t="s">
        <v>245</v>
      </c>
      <c r="AG56" s="89" t="s">
        <v>246</v>
      </c>
    </row>
    <row r="57" spans="5:33" s="135" customFormat="1">
      <c r="E57" s="136"/>
      <c r="F57" s="137"/>
      <c r="G57" s="174" t="str">
        <f>A19</f>
        <v>Villas de San Pablo</v>
      </c>
      <c r="H57" s="163">
        <f>H19</f>
        <v>0</v>
      </c>
      <c r="I57" s="163">
        <f>I19-H19</f>
        <v>0</v>
      </c>
      <c r="J57" s="163">
        <f t="shared" ref="J57:AG57" si="27">J19-I19</f>
        <v>0</v>
      </c>
      <c r="K57" s="163">
        <f t="shared" si="27"/>
        <v>0</v>
      </c>
      <c r="L57" s="163">
        <f t="shared" si="27"/>
        <v>100</v>
      </c>
      <c r="M57" s="163">
        <f t="shared" si="27"/>
        <v>412</v>
      </c>
      <c r="N57" s="163">
        <f t="shared" si="27"/>
        <v>60</v>
      </c>
      <c r="O57" s="163">
        <f t="shared" si="27"/>
        <v>60</v>
      </c>
      <c r="P57" s="163">
        <f t="shared" si="27"/>
        <v>60</v>
      </c>
      <c r="Q57" s="163">
        <f t="shared" si="27"/>
        <v>120</v>
      </c>
      <c r="R57" s="163">
        <f t="shared" si="27"/>
        <v>120</v>
      </c>
      <c r="S57" s="163">
        <f t="shared" si="27"/>
        <v>120</v>
      </c>
      <c r="T57" s="163">
        <f t="shared" si="27"/>
        <v>148</v>
      </c>
      <c r="U57" s="163">
        <f t="shared" si="27"/>
        <v>220</v>
      </c>
      <c r="V57" s="163">
        <f t="shared" si="27"/>
        <v>300</v>
      </c>
      <c r="W57" s="163">
        <f t="shared" si="27"/>
        <v>200</v>
      </c>
      <c r="X57" s="163">
        <f t="shared" si="27"/>
        <v>200</v>
      </c>
      <c r="Y57" s="163">
        <f t="shared" si="27"/>
        <v>200</v>
      </c>
      <c r="Z57" s="163">
        <f t="shared" si="27"/>
        <v>180</v>
      </c>
      <c r="AA57" s="163"/>
      <c r="AB57" s="163">
        <f t="shared" si="27"/>
        <v>0</v>
      </c>
      <c r="AC57" s="163">
        <f t="shared" si="27"/>
        <v>0</v>
      </c>
      <c r="AD57" s="163">
        <f t="shared" si="27"/>
        <v>0</v>
      </c>
      <c r="AE57" s="163">
        <f t="shared" si="27"/>
        <v>0</v>
      </c>
      <c r="AF57" s="163">
        <f t="shared" si="27"/>
        <v>0</v>
      </c>
      <c r="AG57" s="163">
        <f t="shared" si="27"/>
        <v>0</v>
      </c>
    </row>
    <row r="58" spans="5:33" s="135" customFormat="1" ht="14.65" thickBot="1">
      <c r="E58" s="136"/>
      <c r="F58" s="137"/>
      <c r="G58" s="175" t="s">
        <v>211</v>
      </c>
      <c r="H58" s="176">
        <f t="shared" ref="H58:X58" si="28">SUM(H57:H57)</f>
        <v>0</v>
      </c>
      <c r="I58" s="176">
        <f t="shared" si="28"/>
        <v>0</v>
      </c>
      <c r="J58" s="176">
        <f t="shared" si="28"/>
        <v>0</v>
      </c>
      <c r="K58" s="176">
        <f t="shared" si="28"/>
        <v>0</v>
      </c>
      <c r="L58" s="176">
        <f t="shared" si="28"/>
        <v>100</v>
      </c>
      <c r="M58" s="176">
        <f t="shared" si="28"/>
        <v>412</v>
      </c>
      <c r="N58" s="176">
        <f t="shared" si="28"/>
        <v>60</v>
      </c>
      <c r="O58" s="176">
        <f t="shared" si="28"/>
        <v>60</v>
      </c>
      <c r="P58" s="176">
        <f t="shared" si="28"/>
        <v>60</v>
      </c>
      <c r="Q58" s="176">
        <f t="shared" si="28"/>
        <v>120</v>
      </c>
      <c r="R58" s="176">
        <f t="shared" si="28"/>
        <v>120</v>
      </c>
      <c r="S58" s="176">
        <f t="shared" si="28"/>
        <v>120</v>
      </c>
      <c r="T58" s="176">
        <f t="shared" si="28"/>
        <v>148</v>
      </c>
      <c r="U58" s="176">
        <f t="shared" si="28"/>
        <v>220</v>
      </c>
      <c r="V58" s="176">
        <f t="shared" si="28"/>
        <v>300</v>
      </c>
      <c r="W58" s="176">
        <f t="shared" si="28"/>
        <v>200</v>
      </c>
      <c r="X58" s="176">
        <f t="shared" si="28"/>
        <v>200</v>
      </c>
      <c r="Y58" s="176">
        <f t="shared" ref="Y58:Z58" si="29">SUM(Y57:Y57)</f>
        <v>200</v>
      </c>
      <c r="Z58" s="176">
        <f t="shared" si="29"/>
        <v>180</v>
      </c>
      <c r="AA58" s="176">
        <f t="shared" ref="AA58:AG58" si="30">AA41-Z41</f>
        <v>0</v>
      </c>
      <c r="AB58" s="176">
        <f t="shared" si="30"/>
        <v>0</v>
      </c>
      <c r="AC58" s="176">
        <f t="shared" si="30"/>
        <v>0</v>
      </c>
      <c r="AD58" s="176">
        <f t="shared" si="30"/>
        <v>0</v>
      </c>
      <c r="AE58" s="176">
        <f t="shared" si="30"/>
        <v>0</v>
      </c>
      <c r="AF58" s="176">
        <f t="shared" si="30"/>
        <v>0</v>
      </c>
      <c r="AG58" s="176">
        <f t="shared" si="30"/>
        <v>0</v>
      </c>
    </row>
    <row r="59" spans="5:33" s="135" customFormat="1" ht="14.65" thickTop="1">
      <c r="E59" s="136"/>
      <c r="F59" s="137"/>
      <c r="G59" s="137"/>
      <c r="K59" s="138"/>
      <c r="Q59" s="138"/>
      <c r="Y59" s="138"/>
    </row>
    <row r="60" spans="5:33" s="135" customFormat="1">
      <c r="E60" s="136"/>
      <c r="F60" s="137"/>
      <c r="G60" s="137"/>
      <c r="K60" s="138"/>
      <c r="Q60" s="138"/>
      <c r="Y60" s="138"/>
    </row>
    <row r="61" spans="5:33" s="135" customFormat="1">
      <c r="E61" s="136"/>
      <c r="F61" s="137"/>
      <c r="G61" s="137"/>
      <c r="K61" s="138"/>
      <c r="Q61" s="138"/>
      <c r="Y61" s="138"/>
    </row>
    <row r="62" spans="5:33" s="135" customFormat="1">
      <c r="E62" s="136"/>
      <c r="F62" s="137"/>
      <c r="G62" s="137"/>
      <c r="K62" s="138"/>
      <c r="Q62" s="138"/>
      <c r="Y62" s="138"/>
    </row>
    <row r="63" spans="5:33" s="135" customFormat="1">
      <c r="E63" s="136"/>
      <c r="F63" s="137"/>
      <c r="G63" s="137"/>
      <c r="K63" s="138"/>
      <c r="Q63" s="138"/>
      <c r="Y63" s="138"/>
    </row>
    <row r="64" spans="5:33" s="135" customFormat="1">
      <c r="E64" s="136"/>
      <c r="F64" s="137"/>
      <c r="G64" s="137"/>
      <c r="K64" s="138"/>
      <c r="Q64" s="138"/>
      <c r="Y64" s="138"/>
    </row>
    <row r="65" spans="5:25" s="135" customFormat="1">
      <c r="E65" s="136"/>
      <c r="F65" s="137"/>
      <c r="G65" s="137"/>
      <c r="K65" s="138"/>
      <c r="Q65" s="138"/>
      <c r="Y65" s="138"/>
    </row>
    <row r="66" spans="5:25" s="135" customFormat="1">
      <c r="E66" s="136"/>
      <c r="F66" s="137"/>
      <c r="G66" s="137"/>
      <c r="K66" s="138"/>
      <c r="Q66" s="138"/>
      <c r="Y66" s="138"/>
    </row>
    <row r="67" spans="5:25" s="135" customFormat="1">
      <c r="E67" s="136"/>
      <c r="F67" s="137"/>
      <c r="G67" s="137"/>
      <c r="K67" s="138"/>
      <c r="Q67" s="138"/>
      <c r="Y67" s="138"/>
    </row>
    <row r="68" spans="5:25" s="135" customFormat="1">
      <c r="E68" s="136"/>
      <c r="F68" s="137"/>
      <c r="G68" s="137"/>
      <c r="K68" s="138"/>
      <c r="Q68" s="138"/>
      <c r="Y68" s="138"/>
    </row>
    <row r="69" spans="5:25" s="135" customFormat="1">
      <c r="E69" s="136"/>
      <c r="F69" s="137"/>
      <c r="G69" s="137"/>
      <c r="K69" s="138"/>
      <c r="Q69" s="138"/>
      <c r="Y69" s="138"/>
    </row>
    <row r="70" spans="5:25" s="135" customFormat="1">
      <c r="E70" s="136"/>
      <c r="F70" s="137"/>
      <c r="G70" s="137"/>
      <c r="K70" s="138"/>
      <c r="Q70" s="138"/>
      <c r="Y70" s="138"/>
    </row>
    <row r="71" spans="5:25" s="135" customFormat="1">
      <c r="E71" s="136"/>
      <c r="F71" s="137"/>
      <c r="G71" s="137"/>
      <c r="K71" s="138"/>
      <c r="Q71" s="138"/>
      <c r="Y71" s="138"/>
    </row>
    <row r="72" spans="5:25" s="135" customFormat="1">
      <c r="E72" s="136"/>
      <c r="F72" s="137"/>
      <c r="G72" s="137"/>
      <c r="K72" s="138"/>
      <c r="Q72" s="138"/>
      <c r="Y72" s="138"/>
    </row>
    <row r="73" spans="5:25" s="135" customFormat="1">
      <c r="E73" s="136"/>
      <c r="F73" s="137"/>
      <c r="G73" s="137"/>
      <c r="K73" s="138"/>
      <c r="Q73" s="138"/>
      <c r="Y73" s="138"/>
    </row>
    <row r="74" spans="5:25" s="135" customFormat="1">
      <c r="E74" s="136"/>
      <c r="F74" s="137"/>
      <c r="G74" s="137"/>
      <c r="K74" s="138"/>
      <c r="Q74" s="138"/>
      <c r="Y74" s="138"/>
    </row>
    <row r="75" spans="5:25" s="135" customFormat="1">
      <c r="E75" s="136"/>
      <c r="F75" s="137"/>
      <c r="G75" s="137"/>
      <c r="K75" s="138"/>
      <c r="Q75" s="138"/>
      <c r="Y75" s="138"/>
    </row>
    <row r="76" spans="5:25" s="135" customFormat="1">
      <c r="E76" s="136"/>
      <c r="F76" s="137"/>
      <c r="G76" s="137"/>
      <c r="K76" s="138"/>
      <c r="Q76" s="138"/>
      <c r="Y76" s="138"/>
    </row>
    <row r="77" spans="5:25" s="135" customFormat="1">
      <c r="E77" s="136"/>
      <c r="F77" s="137"/>
      <c r="G77" s="137"/>
      <c r="K77" s="138"/>
      <c r="Q77" s="138"/>
      <c r="Y77" s="138"/>
    </row>
    <row r="78" spans="5:25" s="135" customFormat="1">
      <c r="E78" s="136"/>
      <c r="F78" s="137"/>
      <c r="G78" s="137"/>
      <c r="K78" s="138"/>
      <c r="Q78" s="138"/>
      <c r="Y78" s="138"/>
    </row>
    <row r="79" spans="5:25" s="135" customFormat="1">
      <c r="E79" s="136"/>
      <c r="F79" s="137"/>
      <c r="G79" s="137"/>
      <c r="K79" s="138"/>
      <c r="Q79" s="138"/>
      <c r="Y79" s="138"/>
    </row>
    <row r="80" spans="5:25" s="135" customFormat="1">
      <c r="E80" s="136"/>
      <c r="F80" s="137"/>
      <c r="G80" s="137"/>
      <c r="K80" s="138"/>
      <c r="Q80" s="138"/>
      <c r="Y80" s="138"/>
    </row>
    <row r="81" spans="5:25" s="135" customFormat="1">
      <c r="E81" s="136"/>
      <c r="F81" s="137"/>
      <c r="G81" s="137"/>
      <c r="K81" s="138"/>
      <c r="Q81" s="138"/>
      <c r="Y81" s="138"/>
    </row>
    <row r="82" spans="5:25" s="135" customFormat="1">
      <c r="E82" s="136"/>
      <c r="F82" s="137"/>
      <c r="G82" s="137"/>
      <c r="K82" s="138"/>
      <c r="Q82" s="138"/>
      <c r="Y82" s="138"/>
    </row>
    <row r="83" spans="5:25" s="135" customFormat="1">
      <c r="E83" s="136"/>
      <c r="F83" s="137"/>
      <c r="G83" s="137"/>
      <c r="K83" s="138"/>
      <c r="Q83" s="138"/>
      <c r="Y83" s="138"/>
    </row>
    <row r="84" spans="5:25" s="135" customFormat="1">
      <c r="E84" s="136"/>
      <c r="F84" s="137"/>
      <c r="G84" s="137"/>
      <c r="K84" s="138"/>
      <c r="Q84" s="138"/>
      <c r="Y84" s="138"/>
    </row>
    <row r="85" spans="5:25" s="135" customFormat="1">
      <c r="E85" s="136"/>
      <c r="F85" s="137"/>
      <c r="G85" s="137"/>
      <c r="K85" s="138"/>
      <c r="Q85" s="138"/>
      <c r="Y85" s="138"/>
    </row>
    <row r="86" spans="5:25" s="135" customFormat="1">
      <c r="E86" s="136"/>
      <c r="F86" s="137"/>
      <c r="G86" s="137"/>
      <c r="K86" s="138"/>
      <c r="Q86" s="138"/>
      <c r="Y86" s="138"/>
    </row>
    <row r="87" spans="5:25" s="135" customFormat="1">
      <c r="E87" s="136"/>
      <c r="F87" s="137"/>
      <c r="G87" s="137"/>
      <c r="K87" s="138"/>
      <c r="Q87" s="138"/>
      <c r="Y87" s="138"/>
    </row>
    <row r="88" spans="5:25" s="135" customFormat="1">
      <c r="E88" s="136"/>
      <c r="F88" s="137"/>
      <c r="G88" s="137"/>
      <c r="K88" s="138"/>
      <c r="Q88" s="138"/>
      <c r="Y88" s="138"/>
    </row>
    <row r="89" spans="5:25" s="135" customFormat="1">
      <c r="E89" s="136"/>
      <c r="F89" s="137"/>
      <c r="G89" s="137"/>
      <c r="K89" s="138"/>
      <c r="Q89" s="138"/>
      <c r="Y89" s="138"/>
    </row>
    <row r="90" spans="5:25" s="135" customFormat="1">
      <c r="E90" s="136"/>
      <c r="F90" s="137"/>
      <c r="G90" s="137"/>
      <c r="K90" s="138"/>
      <c r="Q90" s="138"/>
      <c r="Y90" s="138"/>
    </row>
    <row r="91" spans="5:25" s="135" customFormat="1">
      <c r="E91" s="136"/>
      <c r="F91" s="137"/>
      <c r="G91" s="137"/>
      <c r="K91" s="138"/>
      <c r="Q91" s="138"/>
      <c r="Y91" s="138"/>
    </row>
    <row r="92" spans="5:25" s="135" customFormat="1">
      <c r="E92" s="136"/>
      <c r="F92" s="137"/>
      <c r="G92" s="137"/>
      <c r="K92" s="138"/>
      <c r="Q92" s="138"/>
      <c r="Y92" s="138"/>
    </row>
    <row r="93" spans="5:25" s="135" customFormat="1">
      <c r="E93" s="136"/>
      <c r="F93" s="137"/>
      <c r="G93" s="137"/>
      <c r="K93" s="138"/>
      <c r="Q93" s="138"/>
      <c r="Y93" s="138"/>
    </row>
    <row r="94" spans="5:25" s="135" customFormat="1">
      <c r="E94" s="136"/>
      <c r="F94" s="137"/>
      <c r="G94" s="137"/>
      <c r="K94" s="138"/>
      <c r="Q94" s="138"/>
      <c r="Y94" s="138"/>
    </row>
    <row r="95" spans="5:25" s="135" customFormat="1">
      <c r="E95" s="136"/>
      <c r="F95" s="137"/>
      <c r="G95" s="137"/>
      <c r="K95" s="138"/>
      <c r="Q95" s="138"/>
      <c r="Y95" s="138"/>
    </row>
    <row r="96" spans="5:25" s="135" customFormat="1">
      <c r="E96" s="136"/>
      <c r="F96" s="137"/>
      <c r="G96" s="137"/>
      <c r="K96" s="138"/>
      <c r="Q96" s="138"/>
      <c r="Y96" s="138"/>
    </row>
    <row r="97" spans="5:25" s="135" customFormat="1">
      <c r="E97" s="136"/>
      <c r="F97" s="137"/>
      <c r="G97" s="137"/>
      <c r="K97" s="138"/>
      <c r="Q97" s="138"/>
      <c r="Y97" s="138"/>
    </row>
    <row r="98" spans="5:25" s="135" customFormat="1">
      <c r="E98" s="136"/>
      <c r="F98" s="137"/>
      <c r="G98" s="137"/>
      <c r="K98" s="138"/>
      <c r="Q98" s="138"/>
      <c r="Y98" s="138"/>
    </row>
    <row r="99" spans="5:25" s="135" customFormat="1">
      <c r="E99" s="136"/>
      <c r="F99" s="137"/>
      <c r="G99" s="137"/>
      <c r="K99" s="138"/>
      <c r="Q99" s="138"/>
      <c r="Y99" s="138"/>
    </row>
    <row r="100" spans="5:25" s="135" customFormat="1">
      <c r="E100" s="136"/>
      <c r="F100" s="137"/>
      <c r="G100" s="137"/>
      <c r="K100" s="138"/>
      <c r="Q100" s="138"/>
      <c r="Y100" s="138"/>
    </row>
    <row r="101" spans="5:25" s="135" customFormat="1">
      <c r="E101" s="136"/>
      <c r="F101" s="137"/>
      <c r="G101" s="137"/>
      <c r="K101" s="138"/>
      <c r="Q101" s="138"/>
      <c r="Y101" s="138"/>
    </row>
    <row r="102" spans="5:25" s="135" customFormat="1">
      <c r="E102" s="136"/>
      <c r="F102" s="137"/>
      <c r="G102" s="137"/>
      <c r="K102" s="138"/>
      <c r="Q102" s="138"/>
      <c r="Y102" s="138"/>
    </row>
    <row r="103" spans="5:25" s="135" customFormat="1">
      <c r="E103" s="136"/>
      <c r="F103" s="137"/>
      <c r="G103" s="137"/>
      <c r="K103" s="138"/>
      <c r="Q103" s="138"/>
      <c r="Y103" s="138"/>
    </row>
    <row r="104" spans="5:25" s="135" customFormat="1">
      <c r="E104" s="136"/>
      <c r="F104" s="137"/>
      <c r="G104" s="137"/>
      <c r="K104" s="138"/>
      <c r="Q104" s="138"/>
      <c r="Y104" s="138"/>
    </row>
    <row r="105" spans="5:25" s="135" customFormat="1">
      <c r="E105" s="136"/>
      <c r="F105" s="137"/>
      <c r="G105" s="137"/>
      <c r="K105" s="138"/>
      <c r="Q105" s="138"/>
      <c r="Y105" s="138"/>
    </row>
    <row r="106" spans="5:25" s="135" customFormat="1">
      <c r="E106" s="136"/>
      <c r="F106" s="137"/>
      <c r="G106" s="137"/>
      <c r="K106" s="138"/>
      <c r="Q106" s="138"/>
      <c r="Y106" s="138"/>
    </row>
    <row r="107" spans="5:25" s="135" customFormat="1">
      <c r="E107" s="136"/>
      <c r="F107" s="137"/>
      <c r="G107" s="137"/>
      <c r="K107" s="138"/>
      <c r="Q107" s="138"/>
      <c r="Y107" s="138"/>
    </row>
    <row r="108" spans="5:25" s="135" customFormat="1">
      <c r="E108" s="136"/>
      <c r="F108" s="137"/>
      <c r="G108" s="137"/>
      <c r="K108" s="138"/>
      <c r="Q108" s="138"/>
      <c r="Y108" s="138"/>
    </row>
    <row r="109" spans="5:25" s="135" customFormat="1">
      <c r="E109" s="136"/>
      <c r="F109" s="137"/>
      <c r="G109" s="137"/>
      <c r="K109" s="138"/>
      <c r="Q109" s="138"/>
      <c r="Y109" s="138"/>
    </row>
    <row r="110" spans="5:25" s="135" customFormat="1">
      <c r="E110" s="136"/>
      <c r="F110" s="137"/>
      <c r="G110" s="137"/>
      <c r="K110" s="138"/>
      <c r="Q110" s="138"/>
      <c r="Y110" s="138"/>
    </row>
    <row r="111" spans="5:25" s="135" customFormat="1">
      <c r="E111" s="136"/>
      <c r="F111" s="137"/>
      <c r="G111" s="137"/>
      <c r="K111" s="138"/>
      <c r="Q111" s="138"/>
      <c r="Y111" s="138"/>
    </row>
    <row r="112" spans="5:25" s="135" customFormat="1">
      <c r="E112" s="136"/>
      <c r="F112" s="137"/>
      <c r="G112" s="137"/>
      <c r="K112" s="138"/>
      <c r="Q112" s="138"/>
      <c r="Y112" s="138"/>
    </row>
    <row r="113" spans="5:25" s="135" customFormat="1">
      <c r="E113" s="136"/>
      <c r="F113" s="137"/>
      <c r="G113" s="137"/>
      <c r="K113" s="138"/>
      <c r="Q113" s="138"/>
      <c r="Y113" s="138"/>
    </row>
    <row r="114" spans="5:25" s="135" customFormat="1">
      <c r="E114" s="136"/>
      <c r="F114" s="137"/>
      <c r="G114" s="137"/>
      <c r="K114" s="138"/>
      <c r="Q114" s="138"/>
      <c r="Y114" s="138"/>
    </row>
    <row r="115" spans="5:25" s="135" customFormat="1">
      <c r="E115" s="136"/>
      <c r="F115" s="137"/>
      <c r="G115" s="137"/>
      <c r="K115" s="138"/>
      <c r="Q115" s="138"/>
      <c r="Y115" s="138"/>
    </row>
    <row r="116" spans="5:25" s="135" customFormat="1">
      <c r="E116" s="136"/>
      <c r="F116" s="137"/>
      <c r="G116" s="137"/>
      <c r="K116" s="138"/>
      <c r="Q116" s="138"/>
      <c r="Y116" s="138"/>
    </row>
    <row r="117" spans="5:25" s="135" customFormat="1">
      <c r="E117" s="136"/>
      <c r="F117" s="137"/>
      <c r="G117" s="137"/>
      <c r="K117" s="138"/>
      <c r="Q117" s="138"/>
      <c r="Y117" s="138"/>
    </row>
    <row r="118" spans="5:25" s="135" customFormat="1">
      <c r="E118" s="136"/>
      <c r="F118" s="137"/>
      <c r="G118" s="137"/>
      <c r="K118" s="138"/>
      <c r="Q118" s="138"/>
      <c r="Y118" s="138"/>
    </row>
    <row r="119" spans="5:25" s="135" customFormat="1">
      <c r="E119" s="136"/>
      <c r="F119" s="137"/>
      <c r="G119" s="137"/>
      <c r="K119" s="138"/>
      <c r="Q119" s="138"/>
      <c r="Y119" s="138"/>
    </row>
    <row r="120" spans="5:25" s="135" customFormat="1">
      <c r="E120" s="136"/>
      <c r="F120" s="137"/>
      <c r="G120" s="137"/>
      <c r="K120" s="138"/>
      <c r="Q120" s="138"/>
      <c r="Y120" s="138"/>
    </row>
    <row r="121" spans="5:25" s="135" customFormat="1">
      <c r="E121" s="136"/>
      <c r="F121" s="137"/>
      <c r="G121" s="137"/>
      <c r="K121" s="138"/>
      <c r="Q121" s="138"/>
      <c r="Y121" s="138"/>
    </row>
    <row r="122" spans="5:25" s="135" customFormat="1">
      <c r="E122" s="136"/>
      <c r="F122" s="137"/>
      <c r="G122" s="137"/>
      <c r="K122" s="138"/>
      <c r="Q122" s="138"/>
      <c r="Y122" s="138"/>
    </row>
    <row r="123" spans="5:25" s="135" customFormat="1">
      <c r="E123" s="136"/>
      <c r="F123" s="137"/>
      <c r="G123" s="137"/>
      <c r="K123" s="138"/>
      <c r="Q123" s="138"/>
      <c r="Y123" s="138"/>
    </row>
    <row r="124" spans="5:25" s="135" customFormat="1">
      <c r="E124" s="136"/>
      <c r="F124" s="137"/>
      <c r="G124" s="137"/>
      <c r="K124" s="138"/>
      <c r="Q124" s="138"/>
      <c r="Y124" s="138"/>
    </row>
    <row r="125" spans="5:25" s="135" customFormat="1">
      <c r="E125" s="136"/>
      <c r="F125" s="137"/>
      <c r="G125" s="137"/>
      <c r="K125" s="138"/>
      <c r="Q125" s="138"/>
      <c r="Y125" s="138"/>
    </row>
    <row r="126" spans="5:25" s="135" customFormat="1">
      <c r="E126" s="136"/>
      <c r="F126" s="137"/>
      <c r="G126" s="137"/>
      <c r="K126" s="138"/>
      <c r="Q126" s="138"/>
      <c r="Y126" s="138"/>
    </row>
    <row r="127" spans="5:25" s="135" customFormat="1">
      <c r="E127" s="136"/>
      <c r="F127" s="137"/>
      <c r="G127" s="137"/>
      <c r="K127" s="138"/>
      <c r="Q127" s="138"/>
      <c r="Y127" s="138"/>
    </row>
    <row r="128" spans="5:25" s="135" customFormat="1">
      <c r="E128" s="136"/>
      <c r="F128" s="137"/>
      <c r="G128" s="137"/>
      <c r="K128" s="138"/>
      <c r="Q128" s="138"/>
      <c r="Y128" s="138"/>
    </row>
    <row r="129" spans="5:25" s="135" customFormat="1">
      <c r="E129" s="136"/>
      <c r="F129" s="137"/>
      <c r="G129" s="137"/>
      <c r="K129" s="138"/>
      <c r="Q129" s="138"/>
      <c r="Y129" s="138"/>
    </row>
    <row r="130" spans="5:25" s="135" customFormat="1">
      <c r="E130" s="136"/>
      <c r="F130" s="137"/>
      <c r="G130" s="137"/>
      <c r="K130" s="138"/>
      <c r="Q130" s="138"/>
      <c r="Y130" s="138"/>
    </row>
    <row r="131" spans="5:25" s="135" customFormat="1">
      <c r="E131" s="136"/>
      <c r="F131" s="137"/>
      <c r="G131" s="137"/>
      <c r="K131" s="138"/>
      <c r="Q131" s="138"/>
      <c r="Y131" s="138"/>
    </row>
    <row r="132" spans="5:25" s="135" customFormat="1">
      <c r="E132" s="136"/>
      <c r="F132" s="137"/>
      <c r="G132" s="137"/>
      <c r="K132" s="138"/>
      <c r="Q132" s="138"/>
      <c r="Y132" s="138"/>
    </row>
    <row r="133" spans="5:25" s="135" customFormat="1">
      <c r="E133" s="136"/>
      <c r="F133" s="137"/>
      <c r="G133" s="137"/>
      <c r="K133" s="138"/>
      <c r="Q133" s="138"/>
      <c r="Y133" s="138"/>
    </row>
    <row r="134" spans="5:25" s="135" customFormat="1">
      <c r="E134" s="136"/>
      <c r="F134" s="137"/>
      <c r="G134" s="137"/>
      <c r="K134" s="138"/>
      <c r="Q134" s="138"/>
      <c r="Y134" s="138"/>
    </row>
    <row r="135" spans="5:25" s="135" customFormat="1">
      <c r="E135" s="136"/>
      <c r="F135" s="137"/>
      <c r="G135" s="137"/>
      <c r="K135" s="138"/>
      <c r="Q135" s="138"/>
      <c r="Y135" s="138"/>
    </row>
    <row r="136" spans="5:25" s="135" customFormat="1">
      <c r="E136" s="136"/>
      <c r="F136" s="137"/>
      <c r="G136" s="137"/>
      <c r="K136" s="138"/>
      <c r="Q136" s="138"/>
      <c r="Y136" s="138"/>
    </row>
    <row r="137" spans="5:25" s="135" customFormat="1">
      <c r="E137" s="136"/>
      <c r="F137" s="137"/>
      <c r="G137" s="137"/>
      <c r="K137" s="138"/>
      <c r="Q137" s="138"/>
      <c r="Y137" s="138"/>
    </row>
    <row r="138" spans="5:25" s="135" customFormat="1">
      <c r="E138" s="136"/>
      <c r="F138" s="137"/>
      <c r="G138" s="137"/>
      <c r="K138" s="138"/>
      <c r="Q138" s="138"/>
      <c r="Y138" s="138"/>
    </row>
    <row r="139" spans="5:25" s="135" customFormat="1">
      <c r="E139" s="136"/>
      <c r="F139" s="137"/>
      <c r="G139" s="137"/>
      <c r="K139" s="138"/>
      <c r="Q139" s="138"/>
      <c r="Y139" s="138"/>
    </row>
    <row r="140" spans="5:25" s="135" customFormat="1">
      <c r="E140" s="136"/>
      <c r="F140" s="137"/>
      <c r="G140" s="137"/>
      <c r="K140" s="138"/>
      <c r="Q140" s="138"/>
      <c r="Y140" s="138"/>
    </row>
    <row r="141" spans="5:25" s="135" customFormat="1">
      <c r="E141" s="136"/>
      <c r="F141" s="137"/>
      <c r="G141" s="137"/>
      <c r="K141" s="138"/>
      <c r="Q141" s="138"/>
      <c r="Y141" s="138"/>
    </row>
    <row r="142" spans="5:25" s="135" customFormat="1">
      <c r="E142" s="136"/>
      <c r="F142" s="137"/>
      <c r="G142" s="137"/>
      <c r="K142" s="138"/>
      <c r="Q142" s="138"/>
      <c r="Y142" s="138"/>
    </row>
    <row r="143" spans="5:25" s="135" customFormat="1">
      <c r="E143" s="136"/>
      <c r="F143" s="137"/>
      <c r="G143" s="137"/>
      <c r="K143" s="138"/>
      <c r="Q143" s="138"/>
      <c r="Y143" s="138"/>
    </row>
    <row r="144" spans="5:25" s="135" customFormat="1">
      <c r="E144" s="136"/>
      <c r="F144" s="137"/>
      <c r="G144" s="137"/>
      <c r="K144" s="138"/>
      <c r="Q144" s="138"/>
      <c r="Y144" s="138"/>
    </row>
    <row r="145" spans="5:25" s="135" customFormat="1">
      <c r="E145" s="136"/>
      <c r="F145" s="137"/>
      <c r="G145" s="137"/>
      <c r="K145" s="138"/>
      <c r="Q145" s="138"/>
      <c r="Y145" s="138"/>
    </row>
    <row r="146" spans="5:25" s="135" customFormat="1">
      <c r="E146" s="136"/>
      <c r="F146" s="137"/>
      <c r="G146" s="137"/>
      <c r="K146" s="138"/>
      <c r="Q146" s="138"/>
      <c r="Y146" s="138"/>
    </row>
    <row r="147" spans="5:25" s="135" customFormat="1">
      <c r="E147" s="136"/>
      <c r="F147" s="137"/>
      <c r="G147" s="137"/>
      <c r="K147" s="138"/>
      <c r="Q147" s="138"/>
      <c r="Y147" s="138"/>
    </row>
  </sheetData>
  <mergeCells count="1">
    <mergeCell ref="A21:D21"/>
  </mergeCells>
  <phoneticPr fontId="16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91848-0CD6-4F13-A021-68774471A0AF}">
  <sheetPr>
    <tabColor theme="3" tint="0.499984740745262"/>
  </sheetPr>
  <dimension ref="A1:AX316"/>
  <sheetViews>
    <sheetView topLeftCell="T8" zoomScale="70" zoomScaleNormal="70" workbookViewId="0">
      <selection activeCell="V9" sqref="V9"/>
    </sheetView>
  </sheetViews>
  <sheetFormatPr baseColWidth="10" defaultColWidth="9.265625" defaultRowHeight="14.25"/>
  <cols>
    <col min="1" max="1" width="9.86328125" style="79" customWidth="1"/>
    <col min="2" max="2" width="18" style="79" customWidth="1"/>
    <col min="3" max="3" width="18.59765625" style="79" customWidth="1"/>
    <col min="4" max="4" width="16.3984375" style="79" customWidth="1"/>
    <col min="5" max="5" width="17.3984375" style="85" customWidth="1"/>
    <col min="6" max="6" width="22.1328125" style="86" customWidth="1"/>
    <col min="7" max="7" width="15.86328125" style="86" customWidth="1"/>
    <col min="8" max="10" width="12.3984375" style="79" customWidth="1"/>
    <col min="11" max="11" width="12.3984375" style="87" customWidth="1"/>
    <col min="12" max="16" width="12.3984375" style="79" customWidth="1"/>
    <col min="17" max="17" width="13.265625" style="87" customWidth="1"/>
    <col min="18" max="24" width="12.3984375" style="79" customWidth="1"/>
    <col min="25" max="25" width="12.3984375" style="87" customWidth="1"/>
    <col min="26" max="41" width="9.265625" style="135"/>
    <col min="42" max="16384" width="9.265625" style="79"/>
  </cols>
  <sheetData>
    <row r="1" spans="1:41" s="73" customFormat="1" ht="36.6" customHeight="1">
      <c r="A1" s="70" t="s">
        <v>176</v>
      </c>
      <c r="B1" s="71" t="s">
        <v>179</v>
      </c>
      <c r="C1" s="71" t="s">
        <v>187</v>
      </c>
      <c r="D1" s="71" t="s">
        <v>74</v>
      </c>
      <c r="E1" s="71" t="s">
        <v>188</v>
      </c>
      <c r="F1" s="71" t="s">
        <v>189</v>
      </c>
      <c r="G1" s="71" t="s">
        <v>52</v>
      </c>
      <c r="H1" s="72" t="s">
        <v>212</v>
      </c>
      <c r="I1" s="72" t="s">
        <v>213</v>
      </c>
      <c r="J1" s="72" t="s">
        <v>214</v>
      </c>
      <c r="K1" s="72" t="s">
        <v>215</v>
      </c>
      <c r="L1" s="72" t="s">
        <v>216</v>
      </c>
      <c r="M1" s="72" t="s">
        <v>217</v>
      </c>
      <c r="N1" s="72" t="s">
        <v>218</v>
      </c>
      <c r="O1" s="72" t="s">
        <v>219</v>
      </c>
      <c r="P1" s="72" t="s">
        <v>220</v>
      </c>
      <c r="Q1" s="72" t="s">
        <v>221</v>
      </c>
      <c r="R1" s="72" t="s">
        <v>222</v>
      </c>
      <c r="S1" s="72" t="s">
        <v>223</v>
      </c>
      <c r="T1" s="72" t="s">
        <v>224</v>
      </c>
      <c r="U1" s="72" t="s">
        <v>225</v>
      </c>
      <c r="V1" s="72" t="s">
        <v>226</v>
      </c>
      <c r="W1" s="72" t="s">
        <v>227</v>
      </c>
      <c r="X1" s="72" t="s">
        <v>228</v>
      </c>
      <c r="Y1" s="72" t="s">
        <v>229</v>
      </c>
      <c r="Z1" s="208" t="s">
        <v>239</v>
      </c>
      <c r="AA1" s="208" t="s">
        <v>240</v>
      </c>
      <c r="AB1" s="208" t="s">
        <v>241</v>
      </c>
      <c r="AC1" s="208" t="s">
        <v>242</v>
      </c>
      <c r="AD1" s="208" t="s">
        <v>243</v>
      </c>
      <c r="AE1" s="208" t="s">
        <v>244</v>
      </c>
      <c r="AF1" s="208" t="s">
        <v>245</v>
      </c>
      <c r="AG1" s="208" t="s">
        <v>246</v>
      </c>
      <c r="AH1" s="139"/>
      <c r="AI1" s="139"/>
      <c r="AJ1" s="139"/>
      <c r="AK1" s="139"/>
      <c r="AL1" s="139"/>
      <c r="AM1" s="139"/>
      <c r="AN1" s="139"/>
      <c r="AO1" s="139"/>
    </row>
    <row r="2" spans="1:41">
      <c r="A2" s="74" t="s">
        <v>230</v>
      </c>
      <c r="B2" s="75" t="s">
        <v>231</v>
      </c>
      <c r="C2" s="75" t="s">
        <v>230</v>
      </c>
      <c r="D2" s="75" t="s">
        <v>27</v>
      </c>
      <c r="E2" s="76">
        <v>79316865070</v>
      </c>
      <c r="F2" s="77">
        <v>4</v>
      </c>
      <c r="G2" s="94">
        <v>2036</v>
      </c>
      <c r="H2" s="162">
        <f>IFERROR($F2*'Proyectado Usuarios'!H2/$G2,0)</f>
        <v>9.8231827111984277E-2</v>
      </c>
      <c r="I2" s="162">
        <f>IFERROR($F2*'Proyectado Usuarios'!I2/$G2,0)</f>
        <v>0.19646365422396855</v>
      </c>
      <c r="J2" s="162">
        <f>IFERROR($F2*'Proyectado Usuarios'!J2/$G2,0)</f>
        <v>0.29469548133595286</v>
      </c>
      <c r="K2" s="162">
        <f>IFERROR($F2*'Proyectado Usuarios'!K2/$G2,0)</f>
        <v>0.39292730844793711</v>
      </c>
      <c r="L2" s="162">
        <f>IFERROR($F2*'Proyectado Usuarios'!L2/$G2,0)</f>
        <v>0.53045186640471509</v>
      </c>
      <c r="M2" s="162">
        <f>IFERROR($F2*'Proyectado Usuarios'!M2/$G2,0)</f>
        <v>0.62868369351669939</v>
      </c>
      <c r="N2" s="162">
        <f>IFERROR($F2*'Proyectado Usuarios'!N2/$G2,0)</f>
        <v>0.68762278978389002</v>
      </c>
      <c r="O2" s="162">
        <f>IFERROR($F2*'Proyectado Usuarios'!O2/$G2,0)</f>
        <v>0.7269155206286837</v>
      </c>
      <c r="P2" s="162">
        <f>IFERROR($F2*'Proyectado Usuarios'!P2/$G2,0)</f>
        <v>0.74656188605108054</v>
      </c>
      <c r="Q2" s="162">
        <f>IFERROR($F2*'Proyectado Usuarios'!Q2/$G2,0)</f>
        <v>0.78585461689587421</v>
      </c>
      <c r="R2" s="162">
        <f>IFERROR($F2*'Proyectado Usuarios'!R2/$G2,0)</f>
        <v>1.768172888015717</v>
      </c>
      <c r="S2" s="162">
        <f>IFERROR($F2*'Proyectado Usuarios'!S2/$G2,0)</f>
        <v>2.161100196463654</v>
      </c>
      <c r="T2" s="162">
        <f>IFERROR($F2*'Proyectado Usuarios'!T2/$G2,0)</f>
        <v>2.8487229862475441</v>
      </c>
      <c r="U2" s="162">
        <f>IFERROR($F2*'Proyectado Usuarios'!U2/$G2,0)</f>
        <v>3.2416502946954813</v>
      </c>
      <c r="V2" s="162">
        <f>IFERROR($F2*'Proyectado Usuarios'!V2/$G2,0)</f>
        <v>3.3398821218074657</v>
      </c>
      <c r="W2" s="162">
        <f>IFERROR($F2*'Proyectado Usuarios'!W2/$G2,0)</f>
        <v>3.5363457760314341</v>
      </c>
      <c r="X2" s="162">
        <f>IFERROR($F2*'Proyectado Usuarios'!X2/$G2,0)</f>
        <v>3.7328094302554029</v>
      </c>
      <c r="Y2" s="162">
        <f>IFERROR($F2*'Proyectado Usuarios'!Y2/$G2,0)</f>
        <v>4</v>
      </c>
      <c r="Z2" s="162">
        <f>IFERROR($F2*'Proyectado Usuarios'!Z2/$G2,0)</f>
        <v>0</v>
      </c>
      <c r="AA2" s="162">
        <f>IFERROR($F2*'Proyectado Usuarios'!AA2/$G2,0)</f>
        <v>0</v>
      </c>
      <c r="AB2" s="162">
        <f>IFERROR($F2*'Proyectado Usuarios'!AB2/$G2,0)</f>
        <v>0</v>
      </c>
      <c r="AC2" s="162">
        <f>IFERROR($F2*'Proyectado Usuarios'!AC2/$G2,0)</f>
        <v>0</v>
      </c>
      <c r="AD2" s="162">
        <f>IFERROR($F2*'Proyectado Usuarios'!AD2/$G2,0)</f>
        <v>0</v>
      </c>
      <c r="AE2" s="162">
        <f>IFERROR($F2*'Proyectado Usuarios'!AE2/$G2,0)</f>
        <v>0</v>
      </c>
      <c r="AF2" s="162">
        <f>IFERROR($F2*'Proyectado Usuarios'!AF2/$G2,0)</f>
        <v>0</v>
      </c>
      <c r="AG2" s="162">
        <f>IFERROR($F2*'Proyectado Usuarios'!AG2/$G2,0)</f>
        <v>0</v>
      </c>
    </row>
    <row r="3" spans="1:41" ht="26.25">
      <c r="A3" s="74" t="s">
        <v>232</v>
      </c>
      <c r="B3" s="75" t="s">
        <v>231</v>
      </c>
      <c r="C3" s="75" t="s">
        <v>232</v>
      </c>
      <c r="D3" s="75" t="s">
        <v>18</v>
      </c>
      <c r="E3" s="76">
        <v>83008042889</v>
      </c>
      <c r="F3" s="77">
        <v>3</v>
      </c>
      <c r="G3" s="94">
        <v>2295</v>
      </c>
      <c r="H3" s="162">
        <f>IFERROR($F3*'Proyectado Usuarios'!H3/$G3,0)</f>
        <v>0</v>
      </c>
      <c r="I3" s="162">
        <f>IFERROR($F3*'Proyectado Usuarios'!I3/$G3,0)</f>
        <v>0</v>
      </c>
      <c r="J3" s="162">
        <f>IFERROR($F3*'Proyectado Usuarios'!J3/$G3,0)</f>
        <v>0</v>
      </c>
      <c r="K3" s="162">
        <f>IFERROR($F3*'Proyectado Usuarios'!K3/$G3,0)</f>
        <v>0</v>
      </c>
      <c r="L3" s="162">
        <f>IFERROR($F3*'Proyectado Usuarios'!L3/$G3,0)</f>
        <v>0</v>
      </c>
      <c r="M3" s="162">
        <f>IFERROR($F3*'Proyectado Usuarios'!M3/$G3,0)</f>
        <v>0</v>
      </c>
      <c r="N3" s="162">
        <f>IFERROR($F3*'Proyectado Usuarios'!N3/$G3,0)</f>
        <v>0</v>
      </c>
      <c r="O3" s="162">
        <f>IFERROR($F3*'Proyectado Usuarios'!O3/$G3,0)</f>
        <v>0</v>
      </c>
      <c r="P3" s="162">
        <f>IFERROR($F3*'Proyectado Usuarios'!P3/$G3,0)</f>
        <v>2.6143790849673203E-2</v>
      </c>
      <c r="Q3" s="162">
        <f>IFERROR($F3*'Proyectado Usuarios'!Q3/$G3,0)</f>
        <v>5.8823529411764705E-2</v>
      </c>
      <c r="R3" s="162">
        <f>IFERROR($F3*'Proyectado Usuarios'!R3/$G3,0)</f>
        <v>0.15032679738562091</v>
      </c>
      <c r="S3" s="162">
        <f>IFERROR($F3*'Proyectado Usuarios'!S3/$G3,0)</f>
        <v>0.26143790849673204</v>
      </c>
      <c r="T3" s="162">
        <f>IFERROR($F3*'Proyectado Usuarios'!T3/$G3,0)</f>
        <v>0.30065359477124182</v>
      </c>
      <c r="U3" s="162">
        <f>IFERROR($F3*'Proyectado Usuarios'!U3/$G3,0)</f>
        <v>0.31372549019607843</v>
      </c>
      <c r="V3" s="162">
        <f>IFERROR($F3*'Proyectado Usuarios'!V3/$G3,0)</f>
        <v>0.37908496732026142</v>
      </c>
      <c r="W3" s="162">
        <f>IFERROR($F3*'Proyectado Usuarios'!W3/$G3,0)</f>
        <v>0.45751633986928103</v>
      </c>
      <c r="X3" s="162">
        <f>IFERROR($F3*'Proyectado Usuarios'!X3/$G3,0)</f>
        <v>0.48366013071895425</v>
      </c>
      <c r="Y3" s="162">
        <f>IFERROR($F3*'Proyectado Usuarios'!Y3/$G3,0)</f>
        <v>0.52287581699346408</v>
      </c>
      <c r="Z3" s="162">
        <f>IFERROR($F3*'Proyectado Usuarios'!Z3/$G3,0)</f>
        <v>0.55555555555555558</v>
      </c>
      <c r="AA3" s="162">
        <f>IFERROR($F3*'Proyectado Usuarios'!AA3/$G3,0)</f>
        <v>0.68627450980392157</v>
      </c>
      <c r="AB3" s="162">
        <f>IFERROR($F3*'Proyectado Usuarios'!AB3/$G3,0)</f>
        <v>1.0130718954248366</v>
      </c>
      <c r="AC3" s="162">
        <f>IFERROR($F3*'Proyectado Usuarios'!AC3/$G3,0)</f>
        <v>1.3398692810457515</v>
      </c>
      <c r="AD3" s="162">
        <f>IFERROR($F3*'Proyectado Usuarios'!AD3/$G3,0)</f>
        <v>1.6666666666666667</v>
      </c>
      <c r="AE3" s="162">
        <f>IFERROR($F3*'Proyectado Usuarios'!AE3/$G3,0)</f>
        <v>2.4509803921568629</v>
      </c>
      <c r="AF3" s="162">
        <f>IFERROR($F3*'Proyectado Usuarios'!AF3/$G3,0)</f>
        <v>2.5816993464052289</v>
      </c>
      <c r="AG3" s="162">
        <f>IFERROR($F3*'Proyectado Usuarios'!AG3/$G3,0)</f>
        <v>3</v>
      </c>
    </row>
    <row r="4" spans="1:41" ht="26.25">
      <c r="A4" s="74" t="s">
        <v>233</v>
      </c>
      <c r="B4" s="75" t="s">
        <v>116</v>
      </c>
      <c r="C4" s="75" t="s">
        <v>195</v>
      </c>
      <c r="D4" s="75" t="s">
        <v>27</v>
      </c>
      <c r="E4" s="76">
        <v>322709746890</v>
      </c>
      <c r="F4" s="77">
        <v>11.73</v>
      </c>
      <c r="G4" s="94">
        <v>10664</v>
      </c>
      <c r="H4" s="162">
        <f>IFERROR($F4*'Proyectado Usuarios'!H4/$G4,0)</f>
        <v>0</v>
      </c>
      <c r="I4" s="162">
        <f>IFERROR($F4*'Proyectado Usuarios'!I4/$G4,0)</f>
        <v>0</v>
      </c>
      <c r="J4" s="162">
        <f>IFERROR($F4*'Proyectado Usuarios'!J4/$G4,0)</f>
        <v>8.7996999249812455E-2</v>
      </c>
      <c r="K4" s="162">
        <f>IFERROR($F4*'Proyectado Usuarios'!K4/$G4,0)</f>
        <v>0.26399099774943741</v>
      </c>
      <c r="L4" s="162">
        <f>IFERROR($F4*'Proyectado Usuarios'!L4/$G4,0)</f>
        <v>0.43998499624906229</v>
      </c>
      <c r="M4" s="162">
        <f>IFERROR($F4*'Proyectado Usuarios'!M4/$G4,0)</f>
        <v>0.52798199549887481</v>
      </c>
      <c r="N4" s="162">
        <f>IFERROR($F4*'Proyectado Usuarios'!N4/$G4,0)</f>
        <v>0.61597899474868723</v>
      </c>
      <c r="O4" s="162">
        <f>IFERROR($F4*'Proyectado Usuarios'!O4/$G4,0)</f>
        <v>0.70397599399849964</v>
      </c>
      <c r="P4" s="162">
        <f>IFERROR($F4*'Proyectado Usuarios'!P4/$G4,0)</f>
        <v>0.79197299324831216</v>
      </c>
      <c r="Q4" s="162">
        <f>IFERROR($F4*'Proyectado Usuarios'!Q4/$G4,0)</f>
        <v>0.87996999249812458</v>
      </c>
      <c r="R4" s="162">
        <f>IFERROR($F4*'Proyectado Usuarios'!R4/$G4,0)</f>
        <v>1.0559639909977496</v>
      </c>
      <c r="S4" s="162">
        <f>IFERROR($F4*'Proyectado Usuarios'!S4/$G4,0)</f>
        <v>1.3199549887471869</v>
      </c>
      <c r="T4" s="162">
        <f>IFERROR($F4*'Proyectado Usuarios'!T4/$G4,0)</f>
        <v>1.4849493623405852</v>
      </c>
      <c r="U4" s="162">
        <f>IFERROR($F4*'Proyectado Usuarios'!U4/$G4,0)</f>
        <v>2.3649193548387095</v>
      </c>
      <c r="V4" s="162">
        <f>IFERROR($F4*'Proyectado Usuarios'!V4/$G4,0)</f>
        <v>3.2448893473368341</v>
      </c>
      <c r="W4" s="162">
        <f>IFERROR($F4*'Proyectado Usuarios'!W4/$G4,0)</f>
        <v>4.1248593398349591</v>
      </c>
      <c r="X4" s="162">
        <f>IFERROR($F4*'Proyectado Usuarios'!X4/$G4,0)</f>
        <v>5.0048293323330837</v>
      </c>
      <c r="Y4" s="162">
        <f>IFERROR($F4*'Proyectado Usuarios'!Y4/$G4,0)</f>
        <v>5.8847993248312074</v>
      </c>
      <c r="Z4" s="162">
        <f>IFERROR($F4*'Proyectado Usuarios'!Z4/$G4,0)</f>
        <v>6.764769317329332</v>
      </c>
      <c r="AA4" s="162">
        <f>IFERROR($F4*'Proyectado Usuarios'!AA4/$G4,0)</f>
        <v>7.6447393098274565</v>
      </c>
      <c r="AB4" s="162">
        <f>IFERROR($F4*'Proyectado Usuarios'!AB4/$G4,0)</f>
        <v>8.5247093023255811</v>
      </c>
      <c r="AC4" s="162">
        <f>IFERROR($F4*'Proyectado Usuarios'!AC4/$G4,0)</f>
        <v>9.4046792948237066</v>
      </c>
      <c r="AD4" s="162">
        <f>IFERROR($F4*'Proyectado Usuarios'!AD4/$G4,0)</f>
        <v>10.28464928732183</v>
      </c>
      <c r="AE4" s="162">
        <f>IFERROR($F4*'Proyectado Usuarios'!AE4/$G4,0)</f>
        <v>10.779632408102026</v>
      </c>
      <c r="AF4" s="162">
        <f>IFERROR($F4*'Proyectado Usuarios'!AF4/$G4,0)</f>
        <v>11.252616279069768</v>
      </c>
      <c r="AG4" s="162">
        <f>IFERROR($F4*'Proyectado Usuarios'!AG4/$G4,0)</f>
        <v>11.73</v>
      </c>
    </row>
    <row r="5" spans="1:41" ht="39.4">
      <c r="A5" s="74" t="s">
        <v>234</v>
      </c>
      <c r="B5" s="75" t="s">
        <v>115</v>
      </c>
      <c r="C5" s="75" t="s">
        <v>197</v>
      </c>
      <c r="D5" s="75" t="s">
        <v>22</v>
      </c>
      <c r="E5" s="76">
        <v>121589085878</v>
      </c>
      <c r="F5" s="77">
        <v>4.16</v>
      </c>
      <c r="G5" s="94">
        <v>3783</v>
      </c>
      <c r="H5" s="162">
        <f>IFERROR($F5*'Proyectado Usuarios'!H5/$G5,0)</f>
        <v>0</v>
      </c>
      <c r="I5" s="162">
        <f>IFERROR($F5*'Proyectado Usuarios'!I5/$G5,0)</f>
        <v>0</v>
      </c>
      <c r="J5" s="162">
        <f>IFERROR($F5*'Proyectado Usuarios'!J5/$G5,0)</f>
        <v>0</v>
      </c>
      <c r="K5" s="162">
        <f>IFERROR($F5*'Proyectado Usuarios'!K5/$G5,0)</f>
        <v>0</v>
      </c>
      <c r="L5" s="162">
        <f>IFERROR($F5*'Proyectado Usuarios'!L5/$G5,0)</f>
        <v>0</v>
      </c>
      <c r="M5" s="162">
        <f>IFERROR($F5*'Proyectado Usuarios'!M5/$G5,0)</f>
        <v>4.3986254295532649E-2</v>
      </c>
      <c r="N5" s="162">
        <f>IFERROR($F5*'Proyectado Usuarios'!N5/$G5,0)</f>
        <v>0.10996563573883161</v>
      </c>
      <c r="O5" s="162">
        <f>IFERROR($F5*'Proyectado Usuarios'!O5/$G5,0)</f>
        <v>0.1759450171821306</v>
      </c>
      <c r="P5" s="162">
        <f>IFERROR($F5*'Proyectado Usuarios'!P5/$G5,0)</f>
        <v>0.1759450171821306</v>
      </c>
      <c r="Q5" s="162">
        <f>IFERROR($F5*'Proyectado Usuarios'!Q5/$G5,0)</f>
        <v>0.1759450171821306</v>
      </c>
      <c r="R5" s="162">
        <f>IFERROR($F5*'Proyectado Usuarios'!R5/$G5,0)</f>
        <v>0.38707903780068731</v>
      </c>
      <c r="S5" s="162">
        <f>IFERROR($F5*'Proyectado Usuarios'!S5/$G5,0)</f>
        <v>0.59821305841924399</v>
      </c>
      <c r="T5" s="162">
        <f>IFERROR($F5*'Proyectado Usuarios'!T5/$G5,0)</f>
        <v>0.80934707903780079</v>
      </c>
      <c r="U5" s="162">
        <f>IFERROR($F5*'Proyectado Usuarios'!U5/$G5,0)</f>
        <v>1.0732646048109966</v>
      </c>
      <c r="V5" s="162">
        <f>IFERROR($F5*'Proyectado Usuarios'!V5/$G5,0)</f>
        <v>1.2843986254295532</v>
      </c>
      <c r="W5" s="162">
        <f>IFERROR($F5*'Proyectado Usuarios'!W5/$G5,0)</f>
        <v>1.49553264604811</v>
      </c>
      <c r="X5" s="162">
        <f>IFERROR($F5*'Proyectado Usuarios'!X5/$G5,0)</f>
        <v>1.7594501718213058</v>
      </c>
      <c r="Y5" s="162">
        <f>IFERROR($F5*'Proyectado Usuarios'!Y5/$G5,0)</f>
        <v>1.9705841924398626</v>
      </c>
      <c r="Z5" s="162">
        <f>IFERROR($F5*'Proyectado Usuarios'!Z5/$G5,0)</f>
        <v>2.2345017182130587</v>
      </c>
      <c r="AA5" s="162">
        <f>IFERROR($F5*'Proyectado Usuarios'!AA5/$G5,0)</f>
        <v>2.4456357388316152</v>
      </c>
      <c r="AB5" s="162">
        <f>IFERROR($F5*'Proyectado Usuarios'!AB5/$G5,0)</f>
        <v>2.7095532646048111</v>
      </c>
      <c r="AC5" s="162">
        <f>IFERROR($F5*'Proyectado Usuarios'!AC5/$G5,0)</f>
        <v>2.9206872852233681</v>
      </c>
      <c r="AD5" s="162">
        <f>IFERROR($F5*'Proyectado Usuarios'!AD5/$G5,0)</f>
        <v>3.140618556701031</v>
      </c>
      <c r="AE5" s="162">
        <f>IFERROR($F5*'Proyectado Usuarios'!AE5/$G5,0)</f>
        <v>3.3605498281786943</v>
      </c>
      <c r="AF5" s="162">
        <f>IFERROR($F5*'Proyectado Usuarios'!AF5/$G5,0)</f>
        <v>3.6354639175257732</v>
      </c>
      <c r="AG5" s="162">
        <f>IFERROR($F5*'Proyectado Usuarios'!AG5/$G5,0)</f>
        <v>4.16</v>
      </c>
    </row>
    <row r="6" spans="1:41">
      <c r="A6" s="74" t="s">
        <v>114</v>
      </c>
      <c r="B6" s="75" t="s">
        <v>113</v>
      </c>
      <c r="C6" s="75" t="s">
        <v>114</v>
      </c>
      <c r="D6" s="75" t="s">
        <v>22</v>
      </c>
      <c r="E6" s="76">
        <v>27742028640</v>
      </c>
      <c r="F6" s="77">
        <v>0.95</v>
      </c>
      <c r="G6" s="94">
        <v>862</v>
      </c>
      <c r="H6" s="162">
        <f>IFERROR($F6*'Proyectado Usuarios'!H6/$G6,0)</f>
        <v>0</v>
      </c>
      <c r="I6" s="162">
        <f>IFERROR($F6*'Proyectado Usuarios'!I6/$G6,0)</f>
        <v>0</v>
      </c>
      <c r="J6" s="162">
        <f>IFERROR($F6*'Proyectado Usuarios'!J6/$G6,0)</f>
        <v>0</v>
      </c>
      <c r="K6" s="162">
        <f>IFERROR($F6*'Proyectado Usuarios'!K6/$G6,0)</f>
        <v>0</v>
      </c>
      <c r="L6" s="162">
        <f>IFERROR($F6*'Proyectado Usuarios'!L6/$G6,0)</f>
        <v>0</v>
      </c>
      <c r="M6" s="162">
        <f>IFERROR($F6*'Proyectado Usuarios'!M6/$G6,0)</f>
        <v>0</v>
      </c>
      <c r="N6" s="162">
        <f>IFERROR($F6*'Proyectado Usuarios'!N6/$G6,0)</f>
        <v>0</v>
      </c>
      <c r="O6" s="162">
        <f>IFERROR($F6*'Proyectado Usuarios'!O6/$G6,0)</f>
        <v>0</v>
      </c>
      <c r="P6" s="162">
        <f>IFERROR($F6*'Proyectado Usuarios'!P6/$G6,0)</f>
        <v>0</v>
      </c>
      <c r="Q6" s="162">
        <f>IFERROR($F6*'Proyectado Usuarios'!Q6/$G6,0)</f>
        <v>5.2900232018561477E-2</v>
      </c>
      <c r="R6" s="162">
        <f>IFERROR($F6*'Proyectado Usuarios'!R6/$G6,0)</f>
        <v>9.2575406032482599E-2</v>
      </c>
      <c r="S6" s="162">
        <f>IFERROR($F6*'Proyectado Usuarios'!S6/$G6,0)</f>
        <v>9.2575406032482599E-2</v>
      </c>
      <c r="T6" s="162">
        <f>IFERROR($F6*'Proyectado Usuarios'!T6/$G6,0)</f>
        <v>0.15870069605568443</v>
      </c>
      <c r="U6" s="162">
        <f>IFERROR($F6*'Proyectado Usuarios'!U6/$G6,0)</f>
        <v>0.25568445475638046</v>
      </c>
      <c r="V6" s="162">
        <f>IFERROR($F6*'Proyectado Usuarios'!V6/$G6,0)</f>
        <v>0.37691415313225057</v>
      </c>
      <c r="W6" s="162">
        <f>IFERROR($F6*'Proyectado Usuarios'!W6/$G6,0)</f>
        <v>0.47389791183294666</v>
      </c>
      <c r="X6" s="162">
        <f>IFERROR($F6*'Proyectado Usuarios'!X6/$G6,0)</f>
        <v>0.57088167053364269</v>
      </c>
      <c r="Y6" s="162">
        <f>IFERROR($F6*'Proyectado Usuarios'!Y6/$G6,0)</f>
        <v>0.69211136890951275</v>
      </c>
      <c r="Z6" s="162">
        <f>IFERROR($F6*'Proyectado Usuarios'!Z6/$G6,0)</f>
        <v>0.78909512761020872</v>
      </c>
      <c r="AA6" s="162">
        <f>IFERROR($F6*'Proyectado Usuarios'!AA6/$G6,0)</f>
        <v>0.95</v>
      </c>
      <c r="AB6" s="162">
        <f>IFERROR($F6*'Proyectado Usuarios'!AB6/$G6,0)</f>
        <v>0</v>
      </c>
      <c r="AC6" s="162">
        <f>IFERROR($F6*'Proyectado Usuarios'!AC6/$G6,0)</f>
        <v>0</v>
      </c>
      <c r="AD6" s="162">
        <f>IFERROR($F6*'Proyectado Usuarios'!AD6/$G6,0)</f>
        <v>0</v>
      </c>
      <c r="AE6" s="162">
        <f>IFERROR($F6*'Proyectado Usuarios'!AE6/$G6,0)</f>
        <v>0</v>
      </c>
      <c r="AF6" s="162">
        <f>IFERROR($F6*'Proyectado Usuarios'!AF6/$G6,0)</f>
        <v>0</v>
      </c>
      <c r="AG6" s="162">
        <f>IFERROR($F6*'Proyectado Usuarios'!AG6/$G6,0)</f>
        <v>0</v>
      </c>
    </row>
    <row r="7" spans="1:41">
      <c r="A7" s="74" t="s">
        <v>110</v>
      </c>
      <c r="B7" s="75" t="s">
        <v>109</v>
      </c>
      <c r="C7" s="75" t="s">
        <v>200</v>
      </c>
      <c r="D7" s="75" t="s">
        <v>22</v>
      </c>
      <c r="E7" s="76">
        <v>51087244522</v>
      </c>
      <c r="F7" s="77">
        <v>1.74</v>
      </c>
      <c r="G7" s="94">
        <v>1581</v>
      </c>
      <c r="H7" s="162">
        <f>IFERROR($F7*'Proyectado Usuarios'!H7/$G7,0)</f>
        <v>0</v>
      </c>
      <c r="I7" s="162">
        <f>IFERROR($F7*'Proyectado Usuarios'!I7/$G7,0)</f>
        <v>0</v>
      </c>
      <c r="J7" s="162">
        <f>IFERROR($F7*'Proyectado Usuarios'!J7/$G7,0)</f>
        <v>0</v>
      </c>
      <c r="K7" s="162">
        <f>IFERROR($F7*'Proyectado Usuarios'!K7/$G7,0)</f>
        <v>0</v>
      </c>
      <c r="L7" s="162">
        <f>IFERROR($F7*'Proyectado Usuarios'!L7/$G7,0)</f>
        <v>0</v>
      </c>
      <c r="M7" s="162">
        <f>IFERROR($F7*'Proyectado Usuarios'!M7/$G7,0)</f>
        <v>2.6413662239089183E-2</v>
      </c>
      <c r="N7" s="162">
        <f>IFERROR($F7*'Proyectado Usuarios'!N7/$G7,0)</f>
        <v>0.13206831119544593</v>
      </c>
      <c r="O7" s="162">
        <f>IFERROR($F7*'Proyectado Usuarios'!O7/$G7,0)</f>
        <v>0.22891840607210628</v>
      </c>
      <c r="P7" s="162">
        <f>IFERROR($F7*'Proyectado Usuarios'!P7/$G7,0)</f>
        <v>0.32576850094876658</v>
      </c>
      <c r="Q7" s="162">
        <f>IFERROR($F7*'Proyectado Usuarios'!Q7/$G7,0)</f>
        <v>0.45783681214421257</v>
      </c>
      <c r="R7" s="162">
        <f>IFERROR($F7*'Proyectado Usuarios'!R7/$G7,0)</f>
        <v>0.56349146110056925</v>
      </c>
      <c r="S7" s="162">
        <f>IFERROR($F7*'Proyectado Usuarios'!S7/$G7,0)</f>
        <v>0.56349146110056925</v>
      </c>
      <c r="T7" s="162">
        <f>IFERROR($F7*'Proyectado Usuarios'!T7/$G7,0)</f>
        <v>0.6867552182163188</v>
      </c>
      <c r="U7" s="162">
        <f>IFERROR($F7*'Proyectado Usuarios'!U7/$G7,0)</f>
        <v>0.80121442125237197</v>
      </c>
      <c r="V7" s="162">
        <f>IFERROR($F7*'Proyectado Usuarios'!V7/$G7,0)</f>
        <v>0.9497912713472485</v>
      </c>
      <c r="W7" s="162">
        <f>IFERROR($F7*'Proyectado Usuarios'!W7/$G7,0)</f>
        <v>1.0818595825426947</v>
      </c>
      <c r="X7" s="162">
        <f>IFERROR($F7*'Proyectado Usuarios'!X7/$G7,0)</f>
        <v>1.2139278937381404</v>
      </c>
      <c r="Y7" s="162">
        <f>IFERROR($F7*'Proyectado Usuarios'!Y7/$G7,0)</f>
        <v>1.3790132827324477</v>
      </c>
      <c r="Z7" s="162">
        <f>IFERROR($F7*'Proyectado Usuarios'!Z7/$G7,0)</f>
        <v>1.4670588235294117</v>
      </c>
      <c r="AA7" s="162">
        <f>IFERROR($F7*'Proyectado Usuarios'!AA7/$G7,0)</f>
        <v>1.74</v>
      </c>
      <c r="AB7" s="162">
        <f>IFERROR($F7*'Proyectado Usuarios'!AB7/$G7,0)</f>
        <v>0</v>
      </c>
      <c r="AC7" s="162">
        <f>IFERROR($F7*'Proyectado Usuarios'!AC7/$G7,0)</f>
        <v>0</v>
      </c>
      <c r="AD7" s="162">
        <f>IFERROR($F7*'Proyectado Usuarios'!AD7/$G7,0)</f>
        <v>0</v>
      </c>
      <c r="AE7" s="162">
        <f>IFERROR($F7*'Proyectado Usuarios'!AE7/$G7,0)</f>
        <v>0</v>
      </c>
      <c r="AF7" s="162">
        <f>IFERROR($F7*'Proyectado Usuarios'!AF7/$G7,0)</f>
        <v>0</v>
      </c>
      <c r="AG7" s="162">
        <f>IFERROR($F7*'Proyectado Usuarios'!AG7/$G7,0)</f>
        <v>0</v>
      </c>
    </row>
    <row r="8" spans="1:41" ht="65.650000000000006">
      <c r="A8" s="74" t="s">
        <v>235</v>
      </c>
      <c r="B8" s="75" t="s">
        <v>111</v>
      </c>
      <c r="C8" s="75" t="s">
        <v>201</v>
      </c>
      <c r="D8" s="75" t="s">
        <v>22</v>
      </c>
      <c r="E8" s="76">
        <v>37573918087</v>
      </c>
      <c r="F8" s="77">
        <v>1.27</v>
      </c>
      <c r="G8" s="94">
        <v>1158</v>
      </c>
      <c r="H8" s="162">
        <f>IFERROR($F8*'Proyectado Usuarios'!H8/$G8,0)</f>
        <v>0</v>
      </c>
      <c r="I8" s="162">
        <f>IFERROR($F8*'Proyectado Usuarios'!I8/$G8,0)</f>
        <v>0</v>
      </c>
      <c r="J8" s="162">
        <f>IFERROR($F8*'Proyectado Usuarios'!J8/$G8,0)</f>
        <v>0</v>
      </c>
      <c r="K8" s="162">
        <f>IFERROR($F8*'Proyectado Usuarios'!K8/$G8,0)</f>
        <v>0</v>
      </c>
      <c r="L8" s="162">
        <f>IFERROR($F8*'Proyectado Usuarios'!L8/$G8,0)</f>
        <v>0</v>
      </c>
      <c r="M8" s="162">
        <f>IFERROR($F8*'Proyectado Usuarios'!M8/$G8,0)</f>
        <v>0</v>
      </c>
      <c r="N8" s="162">
        <f>IFERROR($F8*'Proyectado Usuarios'!N8/$G8,0)</f>
        <v>3.9481865284974091E-2</v>
      </c>
      <c r="O8" s="162">
        <f>IFERROR($F8*'Proyectado Usuarios'!O8/$G8,0)</f>
        <v>8.3350604490500857E-2</v>
      </c>
      <c r="P8" s="162">
        <f>IFERROR($F8*'Proyectado Usuarios'!P8/$G8,0)</f>
        <v>0.13599309153713299</v>
      </c>
      <c r="Q8" s="162">
        <f>IFERROR($F8*'Proyectado Usuarios'!Q8/$G8,0)</f>
        <v>0.21276338514680485</v>
      </c>
      <c r="R8" s="162">
        <f>IFERROR($F8*'Proyectado Usuarios'!R8/$G8,0)</f>
        <v>0.28295336787564768</v>
      </c>
      <c r="S8" s="162">
        <f>IFERROR($F8*'Proyectado Usuarios'!S8/$G8,0)</f>
        <v>0.28295336787564768</v>
      </c>
      <c r="T8" s="162">
        <f>IFERROR($F8*'Proyectado Usuarios'!T8/$G8,0)</f>
        <v>0.35314335060449048</v>
      </c>
      <c r="U8" s="162">
        <f>IFERROR($F8*'Proyectado Usuarios'!U8/$G8,0)</f>
        <v>0.44965457685664945</v>
      </c>
      <c r="V8" s="162">
        <f>IFERROR($F8*'Proyectado Usuarios'!V8/$G8,0)</f>
        <v>0.57029360967184795</v>
      </c>
      <c r="W8" s="162">
        <f>IFERROR($F8*'Proyectado Usuarios'!W8/$G8,0)</f>
        <v>0.66680483592400686</v>
      </c>
      <c r="X8" s="162">
        <f>IFERROR($F8*'Proyectado Usuarios'!X8/$G8,0)</f>
        <v>0.76331606217616577</v>
      </c>
      <c r="Y8" s="162">
        <f>IFERROR($F8*'Proyectado Usuarios'!Y8/$G8,0)</f>
        <v>0.88395509499136438</v>
      </c>
      <c r="Z8" s="162">
        <f>IFERROR($F8*'Proyectado Usuarios'!Z8/$G8,0)</f>
        <v>0.9804663212435234</v>
      </c>
      <c r="AA8" s="162">
        <f>IFERROR($F8*'Proyectado Usuarios'!AA8/$G8,0)</f>
        <v>1.27</v>
      </c>
      <c r="AB8" s="162">
        <f>IFERROR($F8*'Proyectado Usuarios'!AB8/$G8,0)</f>
        <v>0</v>
      </c>
      <c r="AC8" s="162">
        <f>IFERROR($F8*'Proyectado Usuarios'!AC8/$G8,0)</f>
        <v>0</v>
      </c>
      <c r="AD8" s="162">
        <f>IFERROR($F8*'Proyectado Usuarios'!AD8/$G8,0)</f>
        <v>0</v>
      </c>
      <c r="AE8" s="162">
        <f>IFERROR($F8*'Proyectado Usuarios'!AE8/$G8,0)</f>
        <v>0</v>
      </c>
      <c r="AF8" s="162">
        <f>IFERROR($F8*'Proyectado Usuarios'!AF8/$G8,0)</f>
        <v>0</v>
      </c>
      <c r="AG8" s="162">
        <f>IFERROR($F8*'Proyectado Usuarios'!AG8/$G8,0)</f>
        <v>0</v>
      </c>
    </row>
    <row r="9" spans="1:41" ht="26.25">
      <c r="A9" s="74" t="s">
        <v>236</v>
      </c>
      <c r="B9" s="75" t="s">
        <v>111</v>
      </c>
      <c r="C9" s="75" t="s">
        <v>202</v>
      </c>
      <c r="D9" s="75" t="s">
        <v>22</v>
      </c>
      <c r="E9" s="76">
        <v>4402514558</v>
      </c>
      <c r="F9" s="77">
        <v>0.19</v>
      </c>
      <c r="G9" s="94">
        <v>154</v>
      </c>
      <c r="H9" s="162">
        <f>IFERROR($F9*'Proyectado Usuarios'!H9/$G9,0)</f>
        <v>0</v>
      </c>
      <c r="I9" s="162">
        <f>IFERROR($F9*'Proyectado Usuarios'!I9/$G9,0)</f>
        <v>0</v>
      </c>
      <c r="J9" s="162">
        <f>IFERROR($F9*'Proyectado Usuarios'!J9/$G9,0)</f>
        <v>0</v>
      </c>
      <c r="K9" s="162">
        <f>IFERROR($F9*'Proyectado Usuarios'!K9/$G9,0)</f>
        <v>0</v>
      </c>
      <c r="L9" s="162">
        <f>IFERROR($F9*'Proyectado Usuarios'!L9/$G9,0)</f>
        <v>0</v>
      </c>
      <c r="M9" s="162">
        <f>IFERROR($F9*'Proyectado Usuarios'!M9/$G9,0)</f>
        <v>0</v>
      </c>
      <c r="N9" s="162">
        <f>IFERROR($F9*'Proyectado Usuarios'!N9/$G9,0)</f>
        <v>2.9610389610389615E-2</v>
      </c>
      <c r="O9" s="162">
        <f>IFERROR($F9*'Proyectado Usuarios'!O9/$G9,0)</f>
        <v>5.1818181818181819E-2</v>
      </c>
      <c r="P9" s="162">
        <f>IFERROR($F9*'Proyectado Usuarios'!P9/$G9,0)</f>
        <v>7.4025974025974023E-2</v>
      </c>
      <c r="Q9" s="162">
        <f>IFERROR($F9*'Proyectado Usuarios'!Q9/$G9,0)</f>
        <v>0.11103896103896105</v>
      </c>
      <c r="R9" s="162">
        <f>IFERROR($F9*'Proyectado Usuarios'!R9/$G9,0)</f>
        <v>0.14064935064935066</v>
      </c>
      <c r="S9" s="162">
        <f>IFERROR($F9*'Proyectado Usuarios'!S9/$G9,0)</f>
        <v>0.14064935064935066</v>
      </c>
      <c r="T9" s="162">
        <f>IFERROR($F9*'Proyectado Usuarios'!T9/$G9,0)</f>
        <v>0.19</v>
      </c>
      <c r="U9" s="162">
        <f>IFERROR($F9*'Proyectado Usuarios'!U9/$G9,0)</f>
        <v>0</v>
      </c>
      <c r="V9" s="162">
        <f>IFERROR($F9*'Proyectado Usuarios'!V9/$G9,0)</f>
        <v>0</v>
      </c>
      <c r="W9" s="162">
        <f>IFERROR($F9*'Proyectado Usuarios'!W9/$G9,0)</f>
        <v>0</v>
      </c>
      <c r="X9" s="162">
        <f>IFERROR($F9*'Proyectado Usuarios'!X9/$G9,0)</f>
        <v>0</v>
      </c>
      <c r="Y9" s="162">
        <f>IFERROR($F9*'Proyectado Usuarios'!Y9/$G9,0)</f>
        <v>0</v>
      </c>
      <c r="Z9" s="162">
        <f>IFERROR($F9*'Proyectado Usuarios'!Z9/$G9,0)</f>
        <v>0</v>
      </c>
      <c r="AA9" s="162">
        <f>IFERROR($F9*'Proyectado Usuarios'!AA9/$G9,0)</f>
        <v>0</v>
      </c>
      <c r="AB9" s="162">
        <f>IFERROR($F9*'Proyectado Usuarios'!AB9/$G9,0)</f>
        <v>0</v>
      </c>
      <c r="AC9" s="162">
        <f>IFERROR($F9*'Proyectado Usuarios'!AC9/$G9,0)</f>
        <v>0</v>
      </c>
      <c r="AD9" s="162">
        <f>IFERROR($F9*'Proyectado Usuarios'!AD9/$G9,0)</f>
        <v>0</v>
      </c>
      <c r="AE9" s="162">
        <f>IFERROR($F9*'Proyectado Usuarios'!AE9/$G9,0)</f>
        <v>0</v>
      </c>
      <c r="AF9" s="162">
        <f>IFERROR($F9*'Proyectado Usuarios'!AF9/$G9,0)</f>
        <v>0</v>
      </c>
      <c r="AG9" s="162">
        <f>IFERROR($F9*'Proyectado Usuarios'!AG9/$G9,0)</f>
        <v>0</v>
      </c>
    </row>
    <row r="10" spans="1:41">
      <c r="A10" s="74" t="s">
        <v>203</v>
      </c>
      <c r="B10" s="75" t="s">
        <v>120</v>
      </c>
      <c r="C10" s="75" t="s">
        <v>203</v>
      </c>
      <c r="D10" s="75" t="s">
        <v>18</v>
      </c>
      <c r="E10" s="76">
        <v>31420264769</v>
      </c>
      <c r="F10" s="77">
        <v>1.21</v>
      </c>
      <c r="G10" s="94">
        <v>1003</v>
      </c>
      <c r="H10" s="162">
        <f>IFERROR($F10*'Proyectado Usuarios'!H10/$G10,0)</f>
        <v>0</v>
      </c>
      <c r="I10" s="162">
        <f>IFERROR($F10*'Proyectado Usuarios'!I10/$G10,0)</f>
        <v>0</v>
      </c>
      <c r="J10" s="162">
        <f>IFERROR($F10*'Proyectado Usuarios'!J10/$G10,0)</f>
        <v>0</v>
      </c>
      <c r="K10" s="162">
        <f>IFERROR($F10*'Proyectado Usuarios'!K10/$G10,0)</f>
        <v>0</v>
      </c>
      <c r="L10" s="162">
        <f>IFERROR($F10*'Proyectado Usuarios'!L10/$G10,0)</f>
        <v>0</v>
      </c>
      <c r="M10" s="162">
        <f>IFERROR($F10*'Proyectado Usuarios'!M10/$G10,0)</f>
        <v>0</v>
      </c>
      <c r="N10" s="162">
        <f>IFERROR($F10*'Proyectado Usuarios'!N10/$G10,0)</f>
        <v>0</v>
      </c>
      <c r="O10" s="162">
        <f>IFERROR($F10*'Proyectado Usuarios'!O10/$G10,0)</f>
        <v>0</v>
      </c>
      <c r="P10" s="162">
        <f>IFERROR($F10*'Proyectado Usuarios'!P10/$G10,0)</f>
        <v>7.2382851445663005E-2</v>
      </c>
      <c r="Q10" s="162">
        <f>IFERROR($F10*'Proyectado Usuarios'!Q10/$G10,0)</f>
        <v>0.10254237288135593</v>
      </c>
      <c r="R10" s="162">
        <f>IFERROR($F10*'Proyectado Usuarios'!R10/$G10,0)</f>
        <v>0.18698903290129609</v>
      </c>
      <c r="S10" s="162">
        <f>IFERROR($F10*'Proyectado Usuarios'!S10/$G10,0)</f>
        <v>0.24127617148554337</v>
      </c>
      <c r="T10" s="162">
        <f>IFERROR($F10*'Proyectado Usuarios'!T10/$G10,0)</f>
        <v>0.27143569292123632</v>
      </c>
      <c r="U10" s="162">
        <f>IFERROR($F10*'Proyectado Usuarios'!U10/$G10,0)</f>
        <v>0.28349950149551345</v>
      </c>
      <c r="V10" s="162">
        <f>IFERROR($F10*'Proyectado Usuarios'!V10/$G10,0)</f>
        <v>0.34381854436689929</v>
      </c>
      <c r="W10" s="162">
        <f>IFERROR($F10*'Proyectado Usuarios'!W10/$G10,0)</f>
        <v>0.41620139581256232</v>
      </c>
      <c r="X10" s="162">
        <f>IFERROR($F10*'Proyectado Usuarios'!X10/$G10,0)</f>
        <v>0.44032901296111665</v>
      </c>
      <c r="Y10" s="162">
        <f>IFERROR($F10*'Proyectado Usuarios'!Y10/$G10,0)</f>
        <v>0.48255234297108673</v>
      </c>
      <c r="Z10" s="162">
        <f>IFERROR($F10*'Proyectado Usuarios'!Z10/$G10,0)</f>
        <v>0.54287138584247263</v>
      </c>
      <c r="AA10" s="162">
        <f>IFERROR($F10*'Proyectado Usuarios'!AA10/$G10,0)</f>
        <v>0.55493519441674977</v>
      </c>
      <c r="AB10" s="162">
        <f>IFERROR($F10*'Proyectado Usuarios'!AB10/$G10,0)</f>
        <v>0.57906281156530404</v>
      </c>
      <c r="AC10" s="162">
        <f>IFERROR($F10*'Proyectado Usuarios'!AC10/$G10,0)</f>
        <v>0.69970089730807572</v>
      </c>
      <c r="AD10" s="162">
        <f>IFERROR($F10*'Proyectado Usuarios'!AD10/$G10,0)</f>
        <v>0.94097706879361909</v>
      </c>
      <c r="AE10" s="162">
        <f>IFERROR($F10*'Proyectado Usuarios'!AE10/$G10,0)</f>
        <v>0.95304087736789633</v>
      </c>
      <c r="AF10" s="162">
        <f>IFERROR($F10*'Proyectado Usuarios'!AF10/$G10,0)</f>
        <v>0.97716849451645071</v>
      </c>
      <c r="AG10" s="162">
        <f>IFERROR($F10*'Proyectado Usuarios'!AG10/$G10,0)</f>
        <v>1.21</v>
      </c>
    </row>
    <row r="11" spans="1:41">
      <c r="A11" s="74" t="s">
        <v>102</v>
      </c>
      <c r="B11" s="75" t="s">
        <v>101</v>
      </c>
      <c r="C11" s="75" t="s">
        <v>204</v>
      </c>
      <c r="D11" s="75" t="s">
        <v>22</v>
      </c>
      <c r="E11" s="76">
        <v>18447808737</v>
      </c>
      <c r="F11" s="77">
        <v>0.76</v>
      </c>
      <c r="G11" s="94">
        <v>623</v>
      </c>
      <c r="H11" s="162">
        <f>IFERROR($F11*'Proyectado Usuarios'!H11/$G11,0)</f>
        <v>7.3194221508828247E-2</v>
      </c>
      <c r="I11" s="162">
        <f>IFERROR($F11*'Proyectado Usuarios'!I11/$G11,0)</f>
        <v>0.14638844301765649</v>
      </c>
      <c r="J11" s="162">
        <f>IFERROR($F11*'Proyectado Usuarios'!J11/$G11,0)</f>
        <v>0.21958266452648478</v>
      </c>
      <c r="K11" s="162">
        <f>IFERROR($F11*'Proyectado Usuarios'!K11/$G11,0)</f>
        <v>0.24398073836276082</v>
      </c>
      <c r="L11" s="162">
        <f>IFERROR($F11*'Proyectado Usuarios'!L11/$G11,0)</f>
        <v>0.30497592295345105</v>
      </c>
      <c r="M11" s="162">
        <f>IFERROR($F11*'Proyectado Usuarios'!M11/$G11,0)</f>
        <v>0.36597110754414125</v>
      </c>
      <c r="N11" s="162">
        <f>IFERROR($F11*'Proyectado Usuarios'!N11/$G11,0)</f>
        <v>0.42696629213483145</v>
      </c>
      <c r="O11" s="162">
        <f>IFERROR($F11*'Proyectado Usuarios'!O11/$G11,0)</f>
        <v>0.48796147672552165</v>
      </c>
      <c r="P11" s="162">
        <f>IFERROR($F11*'Proyectado Usuarios'!P11/$G11,0)</f>
        <v>0.52455858747993578</v>
      </c>
      <c r="Q11" s="162">
        <f>IFERROR($F11*'Proyectado Usuarios'!Q11/$G11,0)</f>
        <v>0.56115569823434996</v>
      </c>
      <c r="R11" s="162">
        <f>IFERROR($F11*'Proyectado Usuarios'!R11/$G11,0)</f>
        <v>0.6099518459069021</v>
      </c>
      <c r="S11" s="162">
        <f>IFERROR($F11*'Proyectado Usuarios'!S11/$G11,0)</f>
        <v>0.64654895666131618</v>
      </c>
      <c r="T11" s="162">
        <f>IFERROR($F11*'Proyectado Usuarios'!T11/$G11,0)</f>
        <v>0.68314606741573036</v>
      </c>
      <c r="U11" s="162">
        <f>IFERROR($F11*'Proyectado Usuarios'!U11/$G11,0)</f>
        <v>0.70754414125200649</v>
      </c>
      <c r="V11" s="162">
        <f>IFERROR($F11*'Proyectado Usuarios'!V11/$G11,0)</f>
        <v>0.7319422150882825</v>
      </c>
      <c r="W11" s="162">
        <f>IFERROR($F11*'Proyectado Usuarios'!W11/$G11,0)</f>
        <v>0.74414125200642056</v>
      </c>
      <c r="X11" s="162">
        <f>IFERROR($F11*'Proyectado Usuarios'!X11/$G11,0)</f>
        <v>0.76</v>
      </c>
      <c r="Y11" s="162">
        <f>IFERROR($F11*'Proyectado Usuarios'!Y11/$G11,0)</f>
        <v>0</v>
      </c>
      <c r="Z11" s="162">
        <f>IFERROR($F11*'Proyectado Usuarios'!Z11/$G11,0)</f>
        <v>0</v>
      </c>
      <c r="AA11" s="162">
        <f>IFERROR($F11*'Proyectado Usuarios'!AA11/$G11,0)</f>
        <v>0</v>
      </c>
      <c r="AB11" s="162">
        <f>IFERROR($F11*'Proyectado Usuarios'!AB11/$G11,0)</f>
        <v>0</v>
      </c>
      <c r="AC11" s="162">
        <f>IFERROR($F11*'Proyectado Usuarios'!AC11/$G11,0)</f>
        <v>0</v>
      </c>
      <c r="AD11" s="162">
        <f>IFERROR($F11*'Proyectado Usuarios'!AD11/$G11,0)</f>
        <v>0</v>
      </c>
      <c r="AE11" s="162">
        <f>IFERROR($F11*'Proyectado Usuarios'!AE11/$G11,0)</f>
        <v>0</v>
      </c>
      <c r="AF11" s="162">
        <f>IFERROR($F11*'Proyectado Usuarios'!AF11/$G11,0)</f>
        <v>0</v>
      </c>
      <c r="AG11" s="162">
        <f>IFERROR($F11*'Proyectado Usuarios'!AG11/$G11,0)</f>
        <v>0</v>
      </c>
    </row>
    <row r="12" spans="1:41">
      <c r="A12" s="74" t="s">
        <v>205</v>
      </c>
      <c r="B12" s="75" t="s">
        <v>101</v>
      </c>
      <c r="C12" s="75" t="s">
        <v>205</v>
      </c>
      <c r="D12" s="75" t="s">
        <v>22</v>
      </c>
      <c r="E12" s="76">
        <v>18114661005</v>
      </c>
      <c r="F12" s="77">
        <v>0.76</v>
      </c>
      <c r="G12" s="94">
        <v>624</v>
      </c>
      <c r="H12" s="162">
        <f>IFERROR($F12*'Proyectado Usuarios'!H12/$G12,0)</f>
        <v>0</v>
      </c>
      <c r="I12" s="162">
        <f>IFERROR($F12*'Proyectado Usuarios'!I12/$G12,0)</f>
        <v>0</v>
      </c>
      <c r="J12" s="162">
        <f>IFERROR($F12*'Proyectado Usuarios'!J12/$G12,0)</f>
        <v>0</v>
      </c>
      <c r="K12" s="162">
        <f>IFERROR($F12*'Proyectado Usuarios'!K12/$G12,0)</f>
        <v>0.12179487179487179</v>
      </c>
      <c r="L12" s="162">
        <f>IFERROR($F12*'Proyectado Usuarios'!L12/$G12,0)</f>
        <v>0.12179487179487179</v>
      </c>
      <c r="M12" s="162">
        <f>IFERROR($F12*'Proyectado Usuarios'!M12/$G12,0)</f>
        <v>0.12179487179487179</v>
      </c>
      <c r="N12" s="162">
        <f>IFERROR($F12*'Proyectado Usuarios'!N12/$G12,0)</f>
        <v>0.15224358974358973</v>
      </c>
      <c r="O12" s="162">
        <f>IFERROR($F12*'Proyectado Usuarios'!O12/$G12,0)</f>
        <v>0.28012820512820513</v>
      </c>
      <c r="P12" s="162">
        <f>IFERROR($F12*'Proyectado Usuarios'!P12/$G12,0)</f>
        <v>0.32884615384615384</v>
      </c>
      <c r="Q12" s="162">
        <f>IFERROR($F12*'Proyectado Usuarios'!Q12/$G12,0)</f>
        <v>0.42628205128205127</v>
      </c>
      <c r="R12" s="162">
        <f>IFERROR($F12*'Proyectado Usuarios'!R12/$G12,0)</f>
        <v>0.53589743589743588</v>
      </c>
      <c r="S12" s="162">
        <f>IFERROR($F12*'Proyectado Usuarios'!S12/$G12,0)</f>
        <v>0.62115384615384617</v>
      </c>
      <c r="T12" s="162">
        <f>IFERROR($F12*'Proyectado Usuarios'!T12/$G12,0)</f>
        <v>0.66987179487179482</v>
      </c>
      <c r="U12" s="162">
        <f>IFERROR($F12*'Proyectado Usuarios'!U12/$G12,0)</f>
        <v>0.71858974358974359</v>
      </c>
      <c r="V12" s="162">
        <f>IFERROR($F12*'Proyectado Usuarios'!V12/$G12,0)</f>
        <v>0.75512820512820511</v>
      </c>
      <c r="W12" s="162">
        <f>IFERROR($F12*'Proyectado Usuarios'!W12/$G12,0)</f>
        <v>0.76</v>
      </c>
      <c r="X12" s="162">
        <f>IFERROR($F12*'Proyectado Usuarios'!X12/$G12,0)</f>
        <v>0.76</v>
      </c>
      <c r="Y12" s="162">
        <f>IFERROR($F12*'Proyectado Usuarios'!Y12/$G12,0)</f>
        <v>0</v>
      </c>
      <c r="Z12" s="162">
        <f>IFERROR($F12*'Proyectado Usuarios'!Z12/$G12,0)</f>
        <v>0</v>
      </c>
      <c r="AA12" s="162">
        <f>IFERROR($F12*'Proyectado Usuarios'!AA12/$G12,0)</f>
        <v>0</v>
      </c>
      <c r="AB12" s="162">
        <f>IFERROR($F12*'Proyectado Usuarios'!AB12/$G12,0)</f>
        <v>0</v>
      </c>
      <c r="AC12" s="162">
        <f>IFERROR($F12*'Proyectado Usuarios'!AC12/$G12,0)</f>
        <v>0</v>
      </c>
      <c r="AD12" s="162">
        <f>IFERROR($F12*'Proyectado Usuarios'!AD12/$G12,0)</f>
        <v>0</v>
      </c>
      <c r="AE12" s="162">
        <f>IFERROR($F12*'Proyectado Usuarios'!AE12/$G12,0)</f>
        <v>0</v>
      </c>
      <c r="AF12" s="162">
        <f>IFERROR($F12*'Proyectado Usuarios'!AF12/$G12,0)</f>
        <v>0</v>
      </c>
      <c r="AG12" s="162">
        <f>IFERROR($F12*'Proyectado Usuarios'!AG12/$G12,0)</f>
        <v>0</v>
      </c>
    </row>
    <row r="13" spans="1:41">
      <c r="A13" s="74" t="s">
        <v>122</v>
      </c>
      <c r="B13" s="75" t="s">
        <v>116</v>
      </c>
      <c r="C13" s="75" t="s">
        <v>122</v>
      </c>
      <c r="D13" s="75" t="s">
        <v>18</v>
      </c>
      <c r="E13" s="76">
        <v>30713269905</v>
      </c>
      <c r="F13" s="77">
        <v>1.2</v>
      </c>
      <c r="G13" s="94">
        <v>1000</v>
      </c>
      <c r="H13" s="162">
        <f>IFERROR($F13*'Proyectado Usuarios'!H13/$G13,0)</f>
        <v>0</v>
      </c>
      <c r="I13" s="162">
        <f>IFERROR($F13*'Proyectado Usuarios'!I13/$G13,0)</f>
        <v>0</v>
      </c>
      <c r="J13" s="162">
        <f>IFERROR($F13*'Proyectado Usuarios'!J13/$G13,0)</f>
        <v>0</v>
      </c>
      <c r="K13" s="162">
        <f>IFERROR($F13*'Proyectado Usuarios'!K13/$G13,0)</f>
        <v>0</v>
      </c>
      <c r="L13" s="162">
        <f>IFERROR($F13*'Proyectado Usuarios'!L13/$G13,0)</f>
        <v>0</v>
      </c>
      <c r="M13" s="162">
        <f>IFERROR($F13*'Proyectado Usuarios'!M13/$G13,0)</f>
        <v>0</v>
      </c>
      <c r="N13" s="162">
        <f>IFERROR($F13*'Proyectado Usuarios'!N13/$G13,0)</f>
        <v>0</v>
      </c>
      <c r="O13" s="162">
        <f>IFERROR($F13*'Proyectado Usuarios'!O13/$G13,0)</f>
        <v>0</v>
      </c>
      <c r="P13" s="162">
        <f>IFERROR($F13*'Proyectado Usuarios'!P13/$G13,0)</f>
        <v>7.1999999999999995E-2</v>
      </c>
      <c r="Q13" s="162">
        <f>IFERROR($F13*'Proyectado Usuarios'!Q13/$G13,0)</f>
        <v>0.10199999999999999</v>
      </c>
      <c r="R13" s="162">
        <f>IFERROR($F13*'Proyectado Usuarios'!R13/$G13,0)</f>
        <v>0.186</v>
      </c>
      <c r="S13" s="162">
        <f>IFERROR($F13*'Proyectado Usuarios'!S13/$G13,0)</f>
        <v>0.24</v>
      </c>
      <c r="T13" s="162">
        <f>IFERROR($F13*'Proyectado Usuarios'!T13/$G13,0)</f>
        <v>0.252</v>
      </c>
      <c r="U13" s="162">
        <f>IFERROR($F13*'Proyectado Usuarios'!U13/$G13,0)</f>
        <v>0.26400000000000001</v>
      </c>
      <c r="V13" s="162">
        <f>IFERROR($F13*'Proyectado Usuarios'!V13/$G13,0)</f>
        <v>0.32400000000000001</v>
      </c>
      <c r="W13" s="162">
        <f>IFERROR($F13*'Proyectado Usuarios'!W13/$G13,0)</f>
        <v>0.39600000000000002</v>
      </c>
      <c r="X13" s="162">
        <f>IFERROR($F13*'Proyectado Usuarios'!X13/$G13,0)</f>
        <v>0.42</v>
      </c>
      <c r="Y13" s="162">
        <f>IFERROR($F13*'Proyectado Usuarios'!Y13/$G13,0)</f>
        <v>0.48</v>
      </c>
      <c r="Z13" s="162">
        <f>IFERROR($F13*'Proyectado Usuarios'!Z13/$G13,0)</f>
        <v>0.6</v>
      </c>
      <c r="AA13" s="162">
        <f>IFERROR($F13*'Proyectado Usuarios'!AA13/$G13,0)</f>
        <v>0.61199999999999999</v>
      </c>
      <c r="AB13" s="162">
        <f>IFERROR($F13*'Proyectado Usuarios'!AB13/$G13,0)</f>
        <v>0.63600000000000001</v>
      </c>
      <c r="AC13" s="162">
        <f>IFERROR($F13*'Proyectado Usuarios'!AC13/$G13,0)</f>
        <v>0.75600000000000001</v>
      </c>
      <c r="AD13" s="162">
        <f>IFERROR($F13*'Proyectado Usuarios'!AD13/$G13,0)</f>
        <v>0.996</v>
      </c>
      <c r="AE13" s="162">
        <f>IFERROR($F13*'Proyectado Usuarios'!AE13/$G13,0)</f>
        <v>1.008</v>
      </c>
      <c r="AF13" s="162">
        <f>IFERROR($F13*'Proyectado Usuarios'!AF13/$G13,0)</f>
        <v>1.032</v>
      </c>
      <c r="AG13" s="162">
        <f>IFERROR($F13*'Proyectado Usuarios'!AG13/$G13,0)</f>
        <v>1.2</v>
      </c>
    </row>
    <row r="14" spans="1:41">
      <c r="A14" s="74" t="s">
        <v>206</v>
      </c>
      <c r="B14" s="75" t="s">
        <v>123</v>
      </c>
      <c r="C14" s="75" t="s">
        <v>206</v>
      </c>
      <c r="D14" s="75" t="s">
        <v>18</v>
      </c>
      <c r="E14" s="76">
        <v>6880380834</v>
      </c>
      <c r="F14" s="77">
        <v>0.31</v>
      </c>
      <c r="G14" s="94">
        <v>217</v>
      </c>
      <c r="H14" s="162">
        <f>IFERROR($F14*'Proyectado Usuarios'!H14/$G14,0)</f>
        <v>0</v>
      </c>
      <c r="I14" s="162">
        <f>IFERROR($F14*'Proyectado Usuarios'!I14/$G14,0)</f>
        <v>0</v>
      </c>
      <c r="J14" s="162">
        <f>IFERROR($F14*'Proyectado Usuarios'!J14/$G14,0)</f>
        <v>0</v>
      </c>
      <c r="K14" s="162">
        <f>IFERROR($F14*'Proyectado Usuarios'!K14/$G14,0)</f>
        <v>0</v>
      </c>
      <c r="L14" s="162">
        <f>IFERROR($F14*'Proyectado Usuarios'!L14/$G14,0)</f>
        <v>0</v>
      </c>
      <c r="M14" s="162">
        <f>IFERROR($F14*'Proyectado Usuarios'!M14/$G14,0)</f>
        <v>0</v>
      </c>
      <c r="N14" s="162">
        <f>IFERROR($F14*'Proyectado Usuarios'!N14/$G14,0)</f>
        <v>0</v>
      </c>
      <c r="O14" s="162">
        <f>IFERROR($F14*'Proyectado Usuarios'!O14/$G14,0)</f>
        <v>0</v>
      </c>
      <c r="P14" s="162">
        <f>IFERROR($F14*'Proyectado Usuarios'!P14/$G14,0)</f>
        <v>2.8571428571428571E-2</v>
      </c>
      <c r="Q14" s="162">
        <f>IFERROR($F14*'Proyectado Usuarios'!Q14/$G14,0)</f>
        <v>4.9999999999999996E-2</v>
      </c>
      <c r="R14" s="162">
        <f>IFERROR($F14*'Proyectado Usuarios'!R14/$G14,0)</f>
        <v>6.4285714285714279E-2</v>
      </c>
      <c r="S14" s="162">
        <f>IFERROR($F14*'Proyectado Usuarios'!S14/$G14,0)</f>
        <v>7.1428571428571425E-2</v>
      </c>
      <c r="T14" s="162">
        <f>IFERROR($F14*'Proyectado Usuarios'!T14/$G14,0)</f>
        <v>8.5714285714285715E-2</v>
      </c>
      <c r="U14" s="162">
        <f>IFERROR($F14*'Proyectado Usuarios'!U14/$G14,0)</f>
        <v>8.8571428571428565E-2</v>
      </c>
      <c r="V14" s="162">
        <f>IFERROR($F14*'Proyectado Usuarios'!V14/$G14,0)</f>
        <v>9.9999999999999992E-2</v>
      </c>
      <c r="W14" s="162">
        <f>IFERROR($F14*'Proyectado Usuarios'!W14/$G14,0)</f>
        <v>0.10714285714285714</v>
      </c>
      <c r="X14" s="162">
        <f>IFERROR($F14*'Proyectado Usuarios'!X14/$G14,0)</f>
        <v>0.1357142857142857</v>
      </c>
      <c r="Y14" s="162">
        <f>IFERROR($F14*'Proyectado Usuarios'!Y14/$G14,0)</f>
        <v>0.15714285714285714</v>
      </c>
      <c r="Z14" s="162">
        <f>IFERROR($F14*'Proyectado Usuarios'!Z14/$G14,0)</f>
        <v>0.17142857142857143</v>
      </c>
      <c r="AA14" s="162">
        <f>IFERROR($F14*'Proyectado Usuarios'!AA14/$G14,0)</f>
        <v>0.18571428571428569</v>
      </c>
      <c r="AB14" s="162">
        <f>IFERROR($F14*'Proyectado Usuarios'!AB14/$G14,0)</f>
        <v>0.21428571428571427</v>
      </c>
      <c r="AC14" s="162">
        <f>IFERROR($F14*'Proyectado Usuarios'!AC14/$G14,0)</f>
        <v>0.25</v>
      </c>
      <c r="AD14" s="162">
        <f>IFERROR($F14*'Proyectado Usuarios'!AD14/$G14,0)</f>
        <v>0.25714285714285712</v>
      </c>
      <c r="AE14" s="162">
        <f>IFERROR($F14*'Proyectado Usuarios'!AE14/$G14,0)</f>
        <v>0.26428571428571429</v>
      </c>
      <c r="AF14" s="162">
        <f>IFERROR($F14*'Proyectado Usuarios'!AF14/$G14,0)</f>
        <v>0.2857142857142857</v>
      </c>
      <c r="AG14" s="162">
        <f>IFERROR($F14*'Proyectado Usuarios'!AG14/$G14,0)</f>
        <v>0.31</v>
      </c>
    </row>
    <row r="15" spans="1:41" ht="26.25">
      <c r="A15" s="74" t="s">
        <v>207</v>
      </c>
      <c r="B15" s="75" t="s">
        <v>123</v>
      </c>
      <c r="C15" s="75" t="s">
        <v>207</v>
      </c>
      <c r="D15" s="75" t="s">
        <v>18</v>
      </c>
      <c r="E15" s="76">
        <v>22802905997</v>
      </c>
      <c r="F15" s="77">
        <v>0.72</v>
      </c>
      <c r="G15" s="94">
        <v>719</v>
      </c>
      <c r="H15" s="162">
        <f>IFERROR($F15*'Proyectado Usuarios'!H15/$G15,0)</f>
        <v>0</v>
      </c>
      <c r="I15" s="162">
        <f>IFERROR($F15*'Proyectado Usuarios'!I15/$G15,0)</f>
        <v>0</v>
      </c>
      <c r="J15" s="162">
        <f>IFERROR($F15*'Proyectado Usuarios'!J15/$G15,0)</f>
        <v>0</v>
      </c>
      <c r="K15" s="162">
        <f>IFERROR($F15*'Proyectado Usuarios'!K15/$G15,0)</f>
        <v>0</v>
      </c>
      <c r="L15" s="162">
        <f>IFERROR($F15*'Proyectado Usuarios'!L15/$G15,0)</f>
        <v>0</v>
      </c>
      <c r="M15" s="162">
        <f>IFERROR($F15*'Proyectado Usuarios'!M15/$G15,0)</f>
        <v>0</v>
      </c>
      <c r="N15" s="162">
        <f>IFERROR($F15*'Proyectado Usuarios'!N15/$G15,0)</f>
        <v>0</v>
      </c>
      <c r="O15" s="162">
        <f>IFERROR($F15*'Proyectado Usuarios'!O15/$G15,0)</f>
        <v>0</v>
      </c>
      <c r="P15" s="162">
        <f>IFERROR($F15*'Proyectado Usuarios'!P15/$G15,0)</f>
        <v>1.0013908205841445E-2</v>
      </c>
      <c r="Q15" s="162">
        <f>IFERROR($F15*'Proyectado Usuarios'!Q15/$G15,0)</f>
        <v>3.5048678720445064E-2</v>
      </c>
      <c r="R15" s="162">
        <f>IFERROR($F15*'Proyectado Usuarios'!R15/$G15,0)</f>
        <v>0.10514603616133518</v>
      </c>
      <c r="S15" s="162">
        <f>IFERROR($F15*'Proyectado Usuarios'!S15/$G15,0)</f>
        <v>0.20027816411682892</v>
      </c>
      <c r="T15" s="162">
        <f>IFERROR($F15*'Proyectado Usuarios'!T15/$G15,0)</f>
        <v>0.22030598052851183</v>
      </c>
      <c r="U15" s="162">
        <f>IFERROR($F15*'Proyectado Usuarios'!U15/$G15,0)</f>
        <v>0.23031988873435327</v>
      </c>
      <c r="V15" s="162">
        <f>IFERROR($F15*'Proyectado Usuarios'!V15/$G15,0)</f>
        <v>0.28038942976356052</v>
      </c>
      <c r="W15" s="162">
        <f>IFERROR($F15*'Proyectado Usuarios'!W15/$G15,0)</f>
        <v>0.34047287899860917</v>
      </c>
      <c r="X15" s="162">
        <f>IFERROR($F15*'Proyectado Usuarios'!X15/$G15,0)</f>
        <v>0.36050069541029206</v>
      </c>
      <c r="Y15" s="162">
        <f>IFERROR($F15*'Proyectado Usuarios'!Y15/$G15,0)</f>
        <v>0.40055632823365783</v>
      </c>
      <c r="Z15" s="162">
        <f>IFERROR($F15*'Proyectado Usuarios'!Z15/$G15,0)</f>
        <v>0.42058414464534072</v>
      </c>
      <c r="AA15" s="162">
        <f>IFERROR($F15*'Proyectado Usuarios'!AA15/$G15,0)</f>
        <v>0.43059805285118213</v>
      </c>
      <c r="AB15" s="162">
        <f>IFERROR($F15*'Proyectado Usuarios'!AB15/$G15,0)</f>
        <v>0.44061196105702366</v>
      </c>
      <c r="AC15" s="162">
        <f>IFERROR($F15*'Proyectado Usuarios'!AC15/$G15,0)</f>
        <v>0.4906815020862309</v>
      </c>
      <c r="AD15" s="162">
        <f>IFERROR($F15*'Proyectado Usuarios'!AD15/$G15,0)</f>
        <v>0.6008344923504868</v>
      </c>
      <c r="AE15" s="162">
        <f>IFERROR($F15*'Proyectado Usuarios'!AE15/$G15,0)</f>
        <v>0.61084840055632816</v>
      </c>
      <c r="AF15" s="162">
        <f>IFERROR($F15*'Proyectado Usuarios'!AF15/$G15,0)</f>
        <v>0.63087621696801111</v>
      </c>
      <c r="AG15" s="162">
        <f>IFERROR($F15*'Proyectado Usuarios'!AG15/$G15,0)</f>
        <v>0.72</v>
      </c>
    </row>
    <row r="16" spans="1:41">
      <c r="A16" s="74" t="s">
        <v>208</v>
      </c>
      <c r="B16" s="75" t="s">
        <v>123</v>
      </c>
      <c r="C16" s="75" t="s">
        <v>208</v>
      </c>
      <c r="D16" s="75" t="s">
        <v>18</v>
      </c>
      <c r="E16" s="76">
        <v>9349545113</v>
      </c>
      <c r="F16" s="77">
        <v>0.42</v>
      </c>
      <c r="G16" s="94">
        <v>293</v>
      </c>
      <c r="H16" s="162">
        <f>IFERROR($F16*'Proyectado Usuarios'!H16/$G16,0)</f>
        <v>0</v>
      </c>
      <c r="I16" s="162">
        <f>IFERROR($F16*'Proyectado Usuarios'!I16/$G16,0)</f>
        <v>0</v>
      </c>
      <c r="J16" s="162">
        <f>IFERROR($F16*'Proyectado Usuarios'!J16/$G16,0)</f>
        <v>0</v>
      </c>
      <c r="K16" s="162">
        <f>IFERROR($F16*'Proyectado Usuarios'!K16/$G16,0)</f>
        <v>0</v>
      </c>
      <c r="L16" s="162">
        <f>IFERROR($F16*'Proyectado Usuarios'!L16/$G16,0)</f>
        <v>0</v>
      </c>
      <c r="M16" s="162">
        <f>IFERROR($F16*'Proyectado Usuarios'!M16/$G16,0)</f>
        <v>0</v>
      </c>
      <c r="N16" s="162">
        <f>IFERROR($F16*'Proyectado Usuarios'!N16/$G16,0)</f>
        <v>0</v>
      </c>
      <c r="O16" s="162">
        <f>IFERROR($F16*'Proyectado Usuarios'!O16/$G16,0)</f>
        <v>0</v>
      </c>
      <c r="P16" s="162">
        <f>IFERROR($F16*'Proyectado Usuarios'!P16/$G16,0)</f>
        <v>1.4334470989761093E-2</v>
      </c>
      <c r="Q16" s="162">
        <f>IFERROR($F16*'Proyectado Usuarios'!Q16/$G16,0)</f>
        <v>2.8668941979522185E-2</v>
      </c>
      <c r="R16" s="162">
        <f>IFERROR($F16*'Proyectado Usuarios'!R16/$G16,0)</f>
        <v>4.3003412969283276E-2</v>
      </c>
      <c r="S16" s="162">
        <f>IFERROR($F16*'Proyectado Usuarios'!S16/$G16,0)</f>
        <v>7.1672354948805458E-2</v>
      </c>
      <c r="T16" s="162">
        <f>IFERROR($F16*'Proyectado Usuarios'!T16/$G16,0)</f>
        <v>8.6006825938566553E-2</v>
      </c>
      <c r="U16" s="162">
        <f>IFERROR($F16*'Proyectado Usuarios'!U16/$G16,0)</f>
        <v>0.10034129692832763</v>
      </c>
      <c r="V16" s="162">
        <f>IFERROR($F16*'Proyectado Usuarios'!V16/$G16,0)</f>
        <v>0.11467576791808874</v>
      </c>
      <c r="W16" s="162">
        <f>IFERROR($F16*'Proyectado Usuarios'!W16/$G16,0)</f>
        <v>0.12184300341296928</v>
      </c>
      <c r="X16" s="162">
        <f>IFERROR($F16*'Proyectado Usuarios'!X16/$G16,0)</f>
        <v>0.12901023890784982</v>
      </c>
      <c r="Y16" s="162">
        <f>IFERROR($F16*'Proyectado Usuarios'!Y16/$G16,0)</f>
        <v>0.14334470989761092</v>
      </c>
      <c r="Z16" s="162">
        <f>IFERROR($F16*'Proyectado Usuarios'!Z16/$G16,0)</f>
        <v>0.15767918088737201</v>
      </c>
      <c r="AA16" s="162">
        <f>IFERROR($F16*'Proyectado Usuarios'!AA16/$G16,0)</f>
        <v>0.17201365187713311</v>
      </c>
      <c r="AB16" s="162">
        <f>IFERROR($F16*'Proyectado Usuarios'!AB16/$G16,0)</f>
        <v>0.1863481228668942</v>
      </c>
      <c r="AC16" s="162">
        <f>IFERROR($F16*'Proyectado Usuarios'!AC16/$G16,0)</f>
        <v>0.21501706484641639</v>
      </c>
      <c r="AD16" s="162">
        <f>IFERROR($F16*'Proyectado Usuarios'!AD16/$G16,0)</f>
        <v>0.22935153583617748</v>
      </c>
      <c r="AE16" s="162">
        <f>IFERROR($F16*'Proyectado Usuarios'!AE16/$G16,0)</f>
        <v>0.25802047781569964</v>
      </c>
      <c r="AF16" s="162">
        <f>IFERROR($F16*'Proyectado Usuarios'!AF16/$G16,0)</f>
        <v>0.26518771331058022</v>
      </c>
      <c r="AG16" s="162">
        <f>IFERROR($F16*'Proyectado Usuarios'!AG16/$G16,0)</f>
        <v>0.42</v>
      </c>
    </row>
    <row r="17" spans="1:50" ht="26.25">
      <c r="A17" s="74" t="s">
        <v>209</v>
      </c>
      <c r="B17" s="75" t="s">
        <v>123</v>
      </c>
      <c r="C17" s="75" t="s">
        <v>209</v>
      </c>
      <c r="D17" s="75" t="s">
        <v>18</v>
      </c>
      <c r="E17" s="76">
        <v>24764667070</v>
      </c>
      <c r="F17" s="77">
        <v>1.1000000000000001</v>
      </c>
      <c r="G17" s="94">
        <v>777</v>
      </c>
      <c r="H17" s="162">
        <f>IFERROR($F17*'Proyectado Usuarios'!H17/$G17,0)</f>
        <v>0</v>
      </c>
      <c r="I17" s="162">
        <f>IFERROR($F17*'Proyectado Usuarios'!I17/$G17,0)</f>
        <v>0</v>
      </c>
      <c r="J17" s="162">
        <f>IFERROR($F17*'Proyectado Usuarios'!J17/$G17,0)</f>
        <v>0</v>
      </c>
      <c r="K17" s="162">
        <f>IFERROR($F17*'Proyectado Usuarios'!K17/$G17,0)</f>
        <v>0</v>
      </c>
      <c r="L17" s="162">
        <f>IFERROR($F17*'Proyectado Usuarios'!L17/$G17,0)</f>
        <v>0</v>
      </c>
      <c r="M17" s="162">
        <f>IFERROR($F17*'Proyectado Usuarios'!M17/$G17,0)</f>
        <v>0</v>
      </c>
      <c r="N17" s="162">
        <f>IFERROR($F17*'Proyectado Usuarios'!N17/$G17,0)</f>
        <v>0</v>
      </c>
      <c r="O17" s="162">
        <f>IFERROR($F17*'Proyectado Usuarios'!O17/$G17,0)</f>
        <v>0</v>
      </c>
      <c r="P17" s="162">
        <f>IFERROR($F17*'Proyectado Usuarios'!P17/$G17,0)</f>
        <v>8.4942084942084939E-2</v>
      </c>
      <c r="Q17" s="162">
        <f>IFERROR($F17*'Proyectado Usuarios'!Q17/$G17,0)</f>
        <v>0.12033462033462035</v>
      </c>
      <c r="R17" s="162">
        <f>IFERROR($F17*'Proyectado Usuarios'!R17/$G17,0)</f>
        <v>0.21943371943371942</v>
      </c>
      <c r="S17" s="162">
        <f>IFERROR($F17*'Proyectado Usuarios'!S17/$G17,0)</f>
        <v>0.28314028314028317</v>
      </c>
      <c r="T17" s="162">
        <f>IFERROR($F17*'Proyectado Usuarios'!T17/$G17,0)</f>
        <v>0.31853281853281856</v>
      </c>
      <c r="U17" s="162">
        <f>IFERROR($F17*'Proyectado Usuarios'!U17/$G17,0)</f>
        <v>0.33268983268983271</v>
      </c>
      <c r="V17" s="162">
        <f>IFERROR($F17*'Proyectado Usuarios'!V17/$G17,0)</f>
        <v>0.4034749034749035</v>
      </c>
      <c r="W17" s="162">
        <f>IFERROR($F17*'Proyectado Usuarios'!W17/$G17,0)</f>
        <v>0.4884169884169885</v>
      </c>
      <c r="X17" s="162">
        <f>IFERROR($F17*'Proyectado Usuarios'!X17/$G17,0)</f>
        <v>0.51673101673101685</v>
      </c>
      <c r="Y17" s="162">
        <f>IFERROR($F17*'Proyectado Usuarios'!Y17/$G17,0)</f>
        <v>0.42471042471042469</v>
      </c>
      <c r="Z17" s="162">
        <f>IFERROR($F17*'Proyectado Usuarios'!Z17/$G17,0)</f>
        <v>0.45302445302445304</v>
      </c>
      <c r="AA17" s="162">
        <f>IFERROR($F17*'Proyectado Usuarios'!AA17/$G17,0)</f>
        <v>0.46718146718146725</v>
      </c>
      <c r="AB17" s="162">
        <f>IFERROR($F17*'Proyectado Usuarios'!AB17/$G17,0)</f>
        <v>0.48133848133848139</v>
      </c>
      <c r="AC17" s="162">
        <f>IFERROR($F17*'Proyectado Usuarios'!AC17/$G17,0)</f>
        <v>0.55212355212355224</v>
      </c>
      <c r="AD17" s="162">
        <f>IFERROR($F17*'Proyectado Usuarios'!AD17/$G17,0)</f>
        <v>0.70785070785070781</v>
      </c>
      <c r="AE17" s="162">
        <f>IFERROR($F17*'Proyectado Usuarios'!AE17/$G17,0)</f>
        <v>0.72200772200772201</v>
      </c>
      <c r="AF17" s="162">
        <f>IFERROR($F17*'Proyectado Usuarios'!AF17/$G17,0)</f>
        <v>0.7503217503217503</v>
      </c>
      <c r="AG17" s="162">
        <f>IFERROR($F17*'Proyectado Usuarios'!AG17/$G17,0)</f>
        <v>1.1000000000000001</v>
      </c>
    </row>
    <row r="18" spans="1:50" ht="26.25">
      <c r="A18" s="80" t="s">
        <v>210</v>
      </c>
      <c r="B18" s="81" t="s">
        <v>185</v>
      </c>
      <c r="C18" s="81" t="s">
        <v>210</v>
      </c>
      <c r="D18" s="81" t="s">
        <v>18</v>
      </c>
      <c r="E18" s="82">
        <v>24437339433</v>
      </c>
      <c r="F18" s="83">
        <v>1.52</v>
      </c>
      <c r="G18" s="96">
        <v>755</v>
      </c>
      <c r="H18" s="162">
        <f>IFERROR($F18*'Proyectado Usuarios'!H18/$G18,0)</f>
        <v>0</v>
      </c>
      <c r="I18" s="162">
        <f>IFERROR($F18*'Proyectado Usuarios'!I18/$G18,0)</f>
        <v>0</v>
      </c>
      <c r="J18" s="162">
        <f>IFERROR($F18*'Proyectado Usuarios'!J18/$G18,0)</f>
        <v>0</v>
      </c>
      <c r="K18" s="162">
        <f>IFERROR($F18*'Proyectado Usuarios'!K18/$G18,0)</f>
        <v>0</v>
      </c>
      <c r="L18" s="162">
        <f>IFERROR($F18*'Proyectado Usuarios'!L18/$G18,0)</f>
        <v>0</v>
      </c>
      <c r="M18" s="162">
        <f>IFERROR($F18*'Proyectado Usuarios'!M18/$G18,0)</f>
        <v>0</v>
      </c>
      <c r="N18" s="162">
        <f>IFERROR($F18*'Proyectado Usuarios'!N18/$G18,0)</f>
        <v>0</v>
      </c>
      <c r="O18" s="162">
        <f>IFERROR($F18*'Proyectado Usuarios'!O18/$G18,0)</f>
        <v>0</v>
      </c>
      <c r="P18" s="162">
        <f>IFERROR($F18*'Proyectado Usuarios'!P18/$G18,0)</f>
        <v>7.0463576158940402E-2</v>
      </c>
      <c r="Q18" s="162">
        <f>IFERROR($F18*'Proyectado Usuarios'!Q18/$G18,0)</f>
        <v>0.12079470198675497</v>
      </c>
      <c r="R18" s="162">
        <f>IFERROR($F18*'Proyectado Usuarios'!R18/$G18,0)</f>
        <v>0.26172185430463574</v>
      </c>
      <c r="S18" s="162">
        <f>IFERROR($F18*'Proyectado Usuarios'!S18/$G18,0)</f>
        <v>0.40264900662251657</v>
      </c>
      <c r="T18" s="162">
        <f>IFERROR($F18*'Proyectado Usuarios'!T18/$G18,0)</f>
        <v>0.4429139072847682</v>
      </c>
      <c r="U18" s="162">
        <f>IFERROR($F18*'Proyectado Usuarios'!U18/$G18,0)</f>
        <v>0.46304635761589408</v>
      </c>
      <c r="V18" s="162">
        <f>IFERROR($F18*'Proyectado Usuarios'!V18/$G18,0)</f>
        <v>0.56370860927152322</v>
      </c>
      <c r="W18" s="162">
        <f>IFERROR($F18*'Proyectado Usuarios'!W18/$G18,0)</f>
        <v>0.68450331125827812</v>
      </c>
      <c r="X18" s="162">
        <f>IFERROR($F18*'Proyectado Usuarios'!X18/$G18,0)</f>
        <v>0.72476821192052987</v>
      </c>
      <c r="Y18" s="162">
        <f>IFERROR($F18*'Proyectado Usuarios'!Y18/$G18,0)</f>
        <v>0.60397350993377485</v>
      </c>
      <c r="Z18" s="162">
        <f>IFERROR($F18*'Proyectado Usuarios'!Z18/$G18,0)</f>
        <v>0.62410596026490062</v>
      </c>
      <c r="AA18" s="162">
        <f>IFERROR($F18*'Proyectado Usuarios'!AA18/$G18,0)</f>
        <v>0.64423841059602649</v>
      </c>
      <c r="AB18" s="162">
        <f>IFERROR($F18*'Proyectado Usuarios'!AB18/$G18,0)</f>
        <v>0.66437086092715236</v>
      </c>
      <c r="AC18" s="162">
        <f>IFERROR($F18*'Proyectado Usuarios'!AC18/$G18,0)</f>
        <v>0.7650331125827815</v>
      </c>
      <c r="AD18" s="162">
        <f>IFERROR($F18*'Proyectado Usuarios'!AD18/$G18,0)</f>
        <v>0.98649006622516555</v>
      </c>
      <c r="AE18" s="162">
        <f>IFERROR($F18*'Proyectado Usuarios'!AE18/$G18,0)</f>
        <v>1.0066225165562914</v>
      </c>
      <c r="AF18" s="162">
        <f>IFERROR($F18*'Proyectado Usuarios'!AF18/$G18,0)</f>
        <v>1.0468874172185429</v>
      </c>
      <c r="AG18" s="162">
        <f>IFERROR($F18*'Proyectado Usuarios'!AG18/$G18,0)</f>
        <v>1.5199999999999998</v>
      </c>
    </row>
    <row r="19" spans="1:50">
      <c r="A19" s="74"/>
      <c r="B19" s="75"/>
      <c r="C19" s="75"/>
      <c r="D19" s="75"/>
      <c r="E19" s="76"/>
      <c r="F19" s="77"/>
      <c r="G19" s="94"/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1"/>
      <c r="Z19" s="207"/>
      <c r="AA19" s="207"/>
      <c r="AB19" s="207"/>
      <c r="AC19" s="207"/>
      <c r="AD19" s="207"/>
      <c r="AE19" s="207"/>
      <c r="AF19" s="207"/>
      <c r="AG19" s="207"/>
      <c r="AP19" s="135"/>
      <c r="AQ19" s="135"/>
      <c r="AR19" s="135"/>
      <c r="AS19" s="135"/>
      <c r="AT19" s="135"/>
      <c r="AU19" s="135"/>
      <c r="AV19" s="135"/>
      <c r="AW19" s="135"/>
      <c r="AX19" s="135"/>
    </row>
    <row r="20" spans="1:50" ht="26.25">
      <c r="A20" s="95" t="s">
        <v>127</v>
      </c>
      <c r="B20" s="96" t="s">
        <v>126</v>
      </c>
      <c r="C20" s="96" t="s">
        <v>126</v>
      </c>
      <c r="D20" s="96" t="s">
        <v>183</v>
      </c>
      <c r="E20" s="96">
        <v>41281267500</v>
      </c>
      <c r="F20" s="117">
        <v>4.3499999999999996</v>
      </c>
      <c r="G20" s="96">
        <v>2500</v>
      </c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</row>
    <row r="21" spans="1:50" ht="14.65" thickBot="1">
      <c r="G21" s="97"/>
      <c r="H21" s="97"/>
      <c r="I21" s="97"/>
      <c r="J21" s="97"/>
      <c r="K21" s="98"/>
      <c r="L21" s="97"/>
      <c r="M21" s="97"/>
      <c r="N21" s="97"/>
      <c r="O21" s="97"/>
      <c r="P21" s="97"/>
      <c r="Q21" s="98"/>
      <c r="R21" s="97"/>
      <c r="S21" s="97"/>
      <c r="T21" s="97"/>
      <c r="U21" s="97"/>
      <c r="V21" s="97"/>
      <c r="W21" s="97"/>
      <c r="X21" s="97"/>
      <c r="Y21" s="98"/>
    </row>
    <row r="22" spans="1:50" s="135" customFormat="1" ht="14.65" thickBot="1">
      <c r="A22" s="218" t="s">
        <v>237</v>
      </c>
      <c r="B22" s="219"/>
      <c r="C22" s="219"/>
      <c r="D22" s="219"/>
      <c r="E22" s="146">
        <f t="shared" ref="E22:Y22" si="0">SUM(E2:E21)</f>
        <v>955641556897</v>
      </c>
      <c r="F22" s="147">
        <f t="shared" si="0"/>
        <v>39.390000000000008</v>
      </c>
      <c r="G22" s="142">
        <f t="shared" si="0"/>
        <v>31044</v>
      </c>
      <c r="H22" s="142">
        <f t="shared" si="0"/>
        <v>0.17142604862081251</v>
      </c>
      <c r="I22" s="142">
        <f t="shared" si="0"/>
        <v>0.34285209724162502</v>
      </c>
      <c r="J22" s="142">
        <f t="shared" si="0"/>
        <v>0.60227514511225011</v>
      </c>
      <c r="K22" s="142">
        <f t="shared" si="0"/>
        <v>1.0226939163550071</v>
      </c>
      <c r="L22" s="142">
        <f t="shared" si="0"/>
        <v>1.3972076574021002</v>
      </c>
      <c r="M22" s="142">
        <f t="shared" si="0"/>
        <v>1.7148315848892091</v>
      </c>
      <c r="N22" s="142">
        <f t="shared" si="0"/>
        <v>2.1939378682406399</v>
      </c>
      <c r="O22" s="142">
        <f t="shared" si="0"/>
        <v>2.7390134060438296</v>
      </c>
      <c r="P22" s="142">
        <f t="shared" si="0"/>
        <v>3.4825243154828791</v>
      </c>
      <c r="Q22" s="142">
        <f t="shared" si="0"/>
        <v>4.2819596117555339</v>
      </c>
      <c r="R22" s="142">
        <f t="shared" si="0"/>
        <v>6.6536413517181456</v>
      </c>
      <c r="S22" s="142">
        <f t="shared" si="0"/>
        <v>8.1985230923425778</v>
      </c>
      <c r="T22" s="142">
        <f t="shared" si="0"/>
        <v>9.8621996604813784</v>
      </c>
      <c r="U22" s="142">
        <f t="shared" si="0"/>
        <v>11.688715388283768</v>
      </c>
      <c r="V22" s="142">
        <f t="shared" si="0"/>
        <v>13.762391771056926</v>
      </c>
      <c r="W22" s="142">
        <f t="shared" si="0"/>
        <v>15.895538119132116</v>
      </c>
      <c r="X22" s="142">
        <f t="shared" si="0"/>
        <v>17.775928153221788</v>
      </c>
      <c r="Y22" s="145">
        <f t="shared" si="0"/>
        <v>18.025619253787273</v>
      </c>
    </row>
    <row r="23" spans="1:50" s="135" customFormat="1">
      <c r="E23" s="136"/>
      <c r="F23" s="137"/>
      <c r="G23" s="137"/>
      <c r="K23" s="138"/>
      <c r="Q23" s="138"/>
      <c r="Y23" s="138"/>
    </row>
    <row r="24" spans="1:50" s="135" customFormat="1">
      <c r="E24" s="136"/>
      <c r="F24" s="137"/>
      <c r="G24" s="137"/>
      <c r="K24" s="138"/>
      <c r="Q24" s="138"/>
      <c r="Y24" s="138"/>
    </row>
    <row r="25" spans="1:50" s="135" customFormat="1">
      <c r="E25" s="136"/>
      <c r="F25" s="137"/>
      <c r="G25" s="137"/>
      <c r="K25" s="138"/>
      <c r="Q25" s="138"/>
      <c r="Y25" s="138"/>
    </row>
    <row r="26" spans="1:50" s="135" customFormat="1">
      <c r="E26" s="136"/>
      <c r="F26" s="137"/>
      <c r="G26" s="137"/>
      <c r="K26" s="138"/>
      <c r="Q26" s="138"/>
      <c r="Y26" s="138"/>
    </row>
    <row r="27" spans="1:50" s="135" customFormat="1">
      <c r="E27" s="136"/>
      <c r="F27" s="137"/>
      <c r="G27" s="137"/>
      <c r="K27" s="138"/>
      <c r="Q27" s="138"/>
      <c r="Y27" s="138"/>
    </row>
    <row r="28" spans="1:50" s="135" customFormat="1">
      <c r="E28" s="136"/>
      <c r="F28" s="137"/>
      <c r="G28" s="137"/>
      <c r="K28" s="138"/>
      <c r="Q28" s="138"/>
      <c r="Y28" s="138"/>
    </row>
    <row r="29" spans="1:50" s="135" customFormat="1">
      <c r="E29" s="136"/>
      <c r="F29" s="137"/>
      <c r="G29" s="137"/>
      <c r="K29" s="138"/>
      <c r="Q29" s="138"/>
      <c r="Y29" s="138"/>
    </row>
    <row r="30" spans="1:50" s="135" customFormat="1">
      <c r="E30" s="136"/>
      <c r="F30" s="137"/>
      <c r="G30" s="137"/>
      <c r="K30" s="138"/>
      <c r="Q30" s="138"/>
      <c r="Y30" s="138"/>
    </row>
    <row r="31" spans="1:50" s="135" customFormat="1">
      <c r="E31" s="136"/>
      <c r="F31" s="137"/>
      <c r="G31" s="137"/>
      <c r="K31" s="138"/>
      <c r="Q31" s="138"/>
      <c r="Y31" s="138"/>
    </row>
    <row r="32" spans="1:50" s="135" customFormat="1">
      <c r="E32" s="136"/>
      <c r="F32" s="137"/>
      <c r="G32" s="137"/>
      <c r="K32" s="138"/>
      <c r="Q32" s="138"/>
      <c r="Y32" s="138"/>
    </row>
    <row r="33" spans="5:25" s="135" customFormat="1">
      <c r="E33" s="136"/>
      <c r="F33" s="137"/>
      <c r="G33" s="137"/>
      <c r="K33" s="138"/>
      <c r="Q33" s="138"/>
      <c r="Y33" s="138"/>
    </row>
    <row r="34" spans="5:25" s="135" customFormat="1">
      <c r="E34" s="136"/>
      <c r="F34" s="137"/>
      <c r="G34" s="137"/>
      <c r="K34" s="138"/>
      <c r="Q34" s="138"/>
      <c r="Y34" s="138"/>
    </row>
    <row r="35" spans="5:25" s="135" customFormat="1">
      <c r="E35" s="136"/>
      <c r="F35" s="137"/>
      <c r="G35" s="137"/>
      <c r="K35" s="138"/>
      <c r="Q35" s="138"/>
      <c r="Y35" s="138"/>
    </row>
    <row r="36" spans="5:25" s="135" customFormat="1">
      <c r="E36" s="136"/>
      <c r="F36" s="137"/>
      <c r="G36" s="137"/>
      <c r="K36" s="138"/>
      <c r="Q36" s="138"/>
      <c r="Y36" s="138"/>
    </row>
    <row r="37" spans="5:25" s="135" customFormat="1">
      <c r="E37" s="136"/>
      <c r="F37" s="137"/>
      <c r="G37" s="137"/>
      <c r="K37" s="138"/>
      <c r="Q37" s="138"/>
      <c r="Y37" s="138"/>
    </row>
    <row r="38" spans="5:25" s="135" customFormat="1">
      <c r="E38" s="136"/>
      <c r="F38" s="137"/>
      <c r="G38" s="137"/>
      <c r="K38" s="138"/>
      <c r="Q38" s="138"/>
      <c r="Y38" s="138"/>
    </row>
    <row r="39" spans="5:25" s="135" customFormat="1">
      <c r="E39" s="136"/>
      <c r="F39" s="137"/>
      <c r="G39" s="137"/>
      <c r="K39" s="138"/>
      <c r="Q39" s="138"/>
      <c r="Y39" s="138"/>
    </row>
    <row r="40" spans="5:25" s="135" customFormat="1">
      <c r="E40" s="136"/>
      <c r="F40" s="137"/>
      <c r="G40" s="137"/>
      <c r="K40" s="138"/>
      <c r="Q40" s="138"/>
      <c r="Y40" s="138"/>
    </row>
    <row r="41" spans="5:25" s="135" customFormat="1">
      <c r="E41" s="136"/>
      <c r="F41" s="137"/>
      <c r="G41" s="137"/>
      <c r="K41" s="138"/>
      <c r="Q41" s="138"/>
      <c r="Y41" s="138"/>
    </row>
    <row r="42" spans="5:25" s="135" customFormat="1">
      <c r="E42" s="136"/>
      <c r="F42" s="137"/>
      <c r="G42" s="137"/>
      <c r="K42" s="138"/>
      <c r="Q42" s="138"/>
      <c r="Y42" s="138"/>
    </row>
    <row r="43" spans="5:25" s="135" customFormat="1">
      <c r="E43" s="136"/>
      <c r="F43" s="137"/>
      <c r="G43" s="137"/>
      <c r="K43" s="138"/>
      <c r="Q43" s="138"/>
      <c r="Y43" s="138"/>
    </row>
    <row r="44" spans="5:25" s="135" customFormat="1">
      <c r="E44" s="136"/>
      <c r="F44" s="137"/>
      <c r="G44" s="137"/>
      <c r="K44" s="138"/>
      <c r="Q44" s="138"/>
      <c r="Y44" s="138"/>
    </row>
    <row r="45" spans="5:25" s="135" customFormat="1">
      <c r="E45" s="136"/>
      <c r="F45" s="137"/>
      <c r="G45" s="137"/>
      <c r="K45" s="138"/>
      <c r="Q45" s="138"/>
      <c r="Y45" s="138"/>
    </row>
    <row r="46" spans="5:25" s="135" customFormat="1">
      <c r="E46" s="136"/>
      <c r="F46" s="137"/>
      <c r="G46" s="137"/>
      <c r="K46" s="138"/>
      <c r="Q46" s="138"/>
      <c r="Y46" s="138"/>
    </row>
    <row r="47" spans="5:25" s="135" customFormat="1">
      <c r="E47" s="136"/>
      <c r="F47" s="137"/>
      <c r="G47" s="137"/>
      <c r="K47" s="138"/>
      <c r="Q47" s="138"/>
      <c r="Y47" s="138"/>
    </row>
    <row r="48" spans="5:25" s="135" customFormat="1">
      <c r="E48" s="136"/>
      <c r="F48" s="137"/>
      <c r="G48" s="137"/>
      <c r="K48" s="138"/>
      <c r="Q48" s="138"/>
      <c r="Y48" s="138"/>
    </row>
    <row r="49" spans="5:25" s="135" customFormat="1">
      <c r="E49" s="136"/>
      <c r="F49" s="137"/>
      <c r="G49" s="137"/>
      <c r="K49" s="138"/>
      <c r="Q49" s="138"/>
      <c r="Y49" s="138"/>
    </row>
    <row r="50" spans="5:25" s="135" customFormat="1">
      <c r="E50" s="136"/>
      <c r="F50" s="137"/>
      <c r="G50" s="137"/>
      <c r="K50" s="138"/>
      <c r="Q50" s="138"/>
      <c r="Y50" s="138"/>
    </row>
    <row r="51" spans="5:25" s="135" customFormat="1">
      <c r="E51" s="136"/>
      <c r="F51" s="137"/>
      <c r="G51" s="137"/>
      <c r="K51" s="138"/>
      <c r="Q51" s="138"/>
      <c r="Y51" s="138"/>
    </row>
    <row r="52" spans="5:25" s="135" customFormat="1">
      <c r="E52" s="136"/>
      <c r="F52" s="137"/>
      <c r="G52" s="137"/>
      <c r="K52" s="138"/>
      <c r="Q52" s="138"/>
      <c r="Y52" s="138"/>
    </row>
    <row r="53" spans="5:25" s="135" customFormat="1">
      <c r="E53" s="136"/>
      <c r="F53" s="137"/>
      <c r="G53" s="137"/>
      <c r="K53" s="138"/>
      <c r="Q53" s="138"/>
      <c r="Y53" s="138"/>
    </row>
    <row r="54" spans="5:25" s="135" customFormat="1">
      <c r="E54" s="136"/>
      <c r="F54" s="137"/>
      <c r="G54" s="137"/>
      <c r="K54" s="138"/>
      <c r="Q54" s="138"/>
      <c r="Y54" s="138"/>
    </row>
    <row r="55" spans="5:25" s="135" customFormat="1">
      <c r="E55" s="136"/>
      <c r="F55" s="137"/>
      <c r="G55" s="137"/>
      <c r="K55" s="138"/>
      <c r="Q55" s="138"/>
      <c r="Y55" s="138"/>
    </row>
    <row r="56" spans="5:25" s="135" customFormat="1">
      <c r="E56" s="136"/>
      <c r="F56" s="137"/>
      <c r="G56" s="137"/>
      <c r="K56" s="138"/>
      <c r="Q56" s="138"/>
      <c r="Y56" s="138"/>
    </row>
    <row r="57" spans="5:25" s="135" customFormat="1">
      <c r="E57" s="136"/>
      <c r="F57" s="137"/>
      <c r="G57" s="137"/>
      <c r="K57" s="138"/>
      <c r="Q57" s="138"/>
      <c r="Y57" s="138"/>
    </row>
    <row r="58" spans="5:25" s="135" customFormat="1">
      <c r="E58" s="136"/>
      <c r="F58" s="137"/>
      <c r="G58" s="137"/>
      <c r="K58" s="138"/>
      <c r="Q58" s="138"/>
      <c r="Y58" s="138"/>
    </row>
    <row r="59" spans="5:25" s="135" customFormat="1">
      <c r="E59" s="136"/>
      <c r="F59" s="137"/>
      <c r="G59" s="137"/>
      <c r="K59" s="138"/>
      <c r="Q59" s="138"/>
      <c r="Y59" s="138"/>
    </row>
    <row r="60" spans="5:25" s="135" customFormat="1">
      <c r="E60" s="136"/>
      <c r="F60" s="137"/>
      <c r="G60" s="137"/>
      <c r="K60" s="138"/>
      <c r="Q60" s="138"/>
      <c r="Y60" s="138"/>
    </row>
    <row r="61" spans="5:25" s="135" customFormat="1">
      <c r="E61" s="136"/>
      <c r="F61" s="137"/>
      <c r="G61" s="137"/>
      <c r="K61" s="138"/>
      <c r="Q61" s="138"/>
      <c r="Y61" s="138"/>
    </row>
    <row r="62" spans="5:25" s="135" customFormat="1">
      <c r="E62" s="136"/>
      <c r="F62" s="137"/>
      <c r="G62" s="137"/>
      <c r="K62" s="138"/>
      <c r="Q62" s="138"/>
      <c r="Y62" s="138"/>
    </row>
    <row r="63" spans="5:25" s="135" customFormat="1">
      <c r="E63" s="136"/>
      <c r="F63" s="137"/>
      <c r="G63" s="137"/>
      <c r="K63" s="138"/>
      <c r="Q63" s="138"/>
      <c r="Y63" s="138"/>
    </row>
    <row r="64" spans="5:25" s="135" customFormat="1">
      <c r="E64" s="136"/>
      <c r="F64" s="137"/>
      <c r="G64" s="137"/>
      <c r="K64" s="138"/>
      <c r="Q64" s="138"/>
      <c r="Y64" s="138"/>
    </row>
    <row r="65" spans="5:25" s="135" customFormat="1">
      <c r="E65" s="136"/>
      <c r="F65" s="137"/>
      <c r="G65" s="137"/>
      <c r="K65" s="138"/>
      <c r="Q65" s="138"/>
      <c r="Y65" s="138"/>
    </row>
    <row r="66" spans="5:25" s="135" customFormat="1">
      <c r="E66" s="136"/>
      <c r="F66" s="137"/>
      <c r="G66" s="137"/>
      <c r="K66" s="138"/>
      <c r="Q66" s="138"/>
      <c r="Y66" s="138"/>
    </row>
    <row r="67" spans="5:25" s="135" customFormat="1">
      <c r="E67" s="136"/>
      <c r="F67" s="137"/>
      <c r="G67" s="137"/>
      <c r="K67" s="138"/>
      <c r="Q67" s="138"/>
      <c r="Y67" s="138"/>
    </row>
    <row r="68" spans="5:25" s="135" customFormat="1">
      <c r="E68" s="136"/>
      <c r="F68" s="137"/>
      <c r="G68" s="137"/>
      <c r="K68" s="138"/>
      <c r="Q68" s="138"/>
      <c r="Y68" s="138"/>
    </row>
    <row r="69" spans="5:25" s="135" customFormat="1">
      <c r="E69" s="136"/>
      <c r="F69" s="137"/>
      <c r="G69" s="137"/>
      <c r="K69" s="138"/>
      <c r="Q69" s="138"/>
      <c r="Y69" s="138"/>
    </row>
    <row r="70" spans="5:25" s="135" customFormat="1">
      <c r="E70" s="136"/>
      <c r="F70" s="137"/>
      <c r="G70" s="137"/>
      <c r="K70" s="138"/>
      <c r="Q70" s="138"/>
      <c r="Y70" s="138"/>
    </row>
    <row r="71" spans="5:25" s="135" customFormat="1">
      <c r="E71" s="136"/>
      <c r="F71" s="137"/>
      <c r="G71" s="137"/>
      <c r="K71" s="138"/>
      <c r="Q71" s="138"/>
      <c r="Y71" s="138"/>
    </row>
    <row r="72" spans="5:25" s="135" customFormat="1">
      <c r="E72" s="136"/>
      <c r="F72" s="137"/>
      <c r="G72" s="137"/>
      <c r="K72" s="138"/>
      <c r="Q72" s="138"/>
      <c r="Y72" s="138"/>
    </row>
    <row r="73" spans="5:25" s="135" customFormat="1">
      <c r="E73" s="136"/>
      <c r="F73" s="137"/>
      <c r="G73" s="137"/>
      <c r="K73" s="138"/>
      <c r="Q73" s="138"/>
      <c r="Y73" s="138"/>
    </row>
    <row r="74" spans="5:25" s="135" customFormat="1">
      <c r="E74" s="136"/>
      <c r="F74" s="137"/>
      <c r="G74" s="137"/>
      <c r="K74" s="138"/>
      <c r="Q74" s="138"/>
      <c r="Y74" s="138"/>
    </row>
    <row r="75" spans="5:25" s="135" customFormat="1">
      <c r="E75" s="136"/>
      <c r="F75" s="137"/>
      <c r="G75" s="137"/>
      <c r="K75" s="138"/>
      <c r="Q75" s="138"/>
      <c r="Y75" s="138"/>
    </row>
    <row r="76" spans="5:25" s="135" customFormat="1">
      <c r="E76" s="136"/>
      <c r="F76" s="137"/>
      <c r="G76" s="137"/>
      <c r="K76" s="138"/>
      <c r="Q76" s="138"/>
      <c r="Y76" s="138"/>
    </row>
    <row r="77" spans="5:25" s="135" customFormat="1">
      <c r="E77" s="136"/>
      <c r="F77" s="137"/>
      <c r="G77" s="137"/>
      <c r="K77" s="138"/>
      <c r="Q77" s="138"/>
      <c r="Y77" s="138"/>
    </row>
    <row r="78" spans="5:25" s="135" customFormat="1">
      <c r="E78" s="136"/>
      <c r="F78" s="137"/>
      <c r="G78" s="137"/>
      <c r="K78" s="138"/>
      <c r="Q78" s="138"/>
      <c r="Y78" s="138"/>
    </row>
    <row r="79" spans="5:25" s="135" customFormat="1">
      <c r="E79" s="136"/>
      <c r="F79" s="137"/>
      <c r="G79" s="137"/>
      <c r="K79" s="138"/>
      <c r="Q79" s="138"/>
      <c r="Y79" s="138"/>
    </row>
    <row r="80" spans="5:25" s="135" customFormat="1">
      <c r="E80" s="136"/>
      <c r="F80" s="137"/>
      <c r="G80" s="137"/>
      <c r="K80" s="138"/>
      <c r="Q80" s="138"/>
      <c r="Y80" s="138"/>
    </row>
    <row r="81" spans="5:25" s="135" customFormat="1">
      <c r="E81" s="136"/>
      <c r="F81" s="137"/>
      <c r="G81" s="137"/>
      <c r="K81" s="138"/>
      <c r="Q81" s="138"/>
      <c r="Y81" s="138"/>
    </row>
    <row r="82" spans="5:25" s="135" customFormat="1">
      <c r="E82" s="136"/>
      <c r="F82" s="137"/>
      <c r="G82" s="137"/>
      <c r="K82" s="138"/>
      <c r="Q82" s="138"/>
      <c r="Y82" s="138"/>
    </row>
    <row r="83" spans="5:25" s="135" customFormat="1">
      <c r="E83" s="136"/>
      <c r="F83" s="137"/>
      <c r="G83" s="137"/>
      <c r="K83" s="138"/>
      <c r="Q83" s="138"/>
      <c r="Y83" s="138"/>
    </row>
    <row r="84" spans="5:25" s="135" customFormat="1">
      <c r="E84" s="136"/>
      <c r="F84" s="137"/>
      <c r="G84" s="137"/>
      <c r="K84" s="138"/>
      <c r="Q84" s="138"/>
      <c r="Y84" s="138"/>
    </row>
    <row r="85" spans="5:25" s="135" customFormat="1">
      <c r="E85" s="136"/>
      <c r="F85" s="137"/>
      <c r="G85" s="137"/>
      <c r="K85" s="138"/>
      <c r="Q85" s="138"/>
      <c r="Y85" s="138"/>
    </row>
    <row r="86" spans="5:25" s="135" customFormat="1">
      <c r="E86" s="136"/>
      <c r="F86" s="137"/>
      <c r="G86" s="137"/>
      <c r="K86" s="138"/>
      <c r="Q86" s="138"/>
      <c r="Y86" s="138"/>
    </row>
    <row r="87" spans="5:25" s="135" customFormat="1">
      <c r="E87" s="136"/>
      <c r="F87" s="137"/>
      <c r="G87" s="137"/>
      <c r="K87" s="138"/>
      <c r="Q87" s="138"/>
      <c r="Y87" s="138"/>
    </row>
    <row r="88" spans="5:25" s="135" customFormat="1">
      <c r="E88" s="136"/>
      <c r="F88" s="137"/>
      <c r="G88" s="137"/>
      <c r="K88" s="138"/>
      <c r="Q88" s="138"/>
      <c r="Y88" s="138"/>
    </row>
    <row r="89" spans="5:25" s="135" customFormat="1">
      <c r="E89" s="136"/>
      <c r="F89" s="137"/>
      <c r="G89" s="137"/>
      <c r="K89" s="138"/>
      <c r="Q89" s="138"/>
      <c r="Y89" s="138"/>
    </row>
    <row r="90" spans="5:25" s="135" customFormat="1">
      <c r="E90" s="136"/>
      <c r="F90" s="137"/>
      <c r="G90" s="137"/>
      <c r="K90" s="138"/>
      <c r="Q90" s="138"/>
      <c r="Y90" s="138"/>
    </row>
    <row r="91" spans="5:25" s="135" customFormat="1">
      <c r="E91" s="136"/>
      <c r="F91" s="137"/>
      <c r="G91" s="137"/>
      <c r="K91" s="138"/>
      <c r="Q91" s="138"/>
      <c r="Y91" s="138"/>
    </row>
    <row r="92" spans="5:25" s="135" customFormat="1">
      <c r="E92" s="136"/>
      <c r="F92" s="137"/>
      <c r="G92" s="137"/>
      <c r="K92" s="138"/>
      <c r="Q92" s="138"/>
      <c r="Y92" s="138"/>
    </row>
    <row r="93" spans="5:25" s="135" customFormat="1">
      <c r="E93" s="136"/>
      <c r="F93" s="137"/>
      <c r="G93" s="137"/>
      <c r="K93" s="138"/>
      <c r="Q93" s="138"/>
      <c r="Y93" s="138"/>
    </row>
    <row r="94" spans="5:25" s="135" customFormat="1">
      <c r="E94" s="136"/>
      <c r="F94" s="137"/>
      <c r="G94" s="137"/>
      <c r="K94" s="138"/>
      <c r="Q94" s="138"/>
      <c r="Y94" s="138"/>
    </row>
    <row r="95" spans="5:25" s="135" customFormat="1">
      <c r="E95" s="136"/>
      <c r="F95" s="137"/>
      <c r="G95" s="137"/>
      <c r="K95" s="138"/>
      <c r="Q95" s="138"/>
      <c r="Y95" s="138"/>
    </row>
    <row r="96" spans="5:25" s="135" customFormat="1">
      <c r="E96" s="136"/>
      <c r="F96" s="137"/>
      <c r="G96" s="137"/>
      <c r="K96" s="138"/>
      <c r="Q96" s="138"/>
      <c r="Y96" s="138"/>
    </row>
    <row r="97" spans="5:25" s="135" customFormat="1">
      <c r="E97" s="136"/>
      <c r="F97" s="137"/>
      <c r="G97" s="137"/>
      <c r="K97" s="138"/>
      <c r="Q97" s="138"/>
      <c r="Y97" s="138"/>
    </row>
    <row r="98" spans="5:25" s="135" customFormat="1">
      <c r="E98" s="136"/>
      <c r="F98" s="137"/>
      <c r="G98" s="137"/>
      <c r="K98" s="138"/>
      <c r="Q98" s="138"/>
      <c r="Y98" s="138"/>
    </row>
    <row r="99" spans="5:25" s="135" customFormat="1">
      <c r="E99" s="136"/>
      <c r="F99" s="137"/>
      <c r="G99" s="137"/>
      <c r="K99" s="138"/>
      <c r="Q99" s="138"/>
      <c r="Y99" s="138"/>
    </row>
    <row r="100" spans="5:25" s="135" customFormat="1">
      <c r="E100" s="136"/>
      <c r="F100" s="137"/>
      <c r="G100" s="137"/>
      <c r="K100" s="138"/>
      <c r="Q100" s="138"/>
      <c r="Y100" s="138"/>
    </row>
    <row r="101" spans="5:25" s="135" customFormat="1">
      <c r="E101" s="136"/>
      <c r="F101" s="137"/>
      <c r="G101" s="137"/>
      <c r="K101" s="138"/>
      <c r="Q101" s="138"/>
      <c r="Y101" s="138"/>
    </row>
    <row r="102" spans="5:25" s="135" customFormat="1">
      <c r="E102" s="136"/>
      <c r="F102" s="137"/>
      <c r="G102" s="137"/>
      <c r="K102" s="138"/>
      <c r="Q102" s="138"/>
      <c r="Y102" s="138"/>
    </row>
    <row r="103" spans="5:25" s="135" customFormat="1">
      <c r="E103" s="136"/>
      <c r="F103" s="137"/>
      <c r="G103" s="137"/>
      <c r="K103" s="138"/>
      <c r="Q103" s="138"/>
      <c r="Y103" s="138"/>
    </row>
    <row r="104" spans="5:25" s="135" customFormat="1">
      <c r="E104" s="136"/>
      <c r="F104" s="137"/>
      <c r="G104" s="137"/>
      <c r="K104" s="138"/>
      <c r="Q104" s="138"/>
      <c r="Y104" s="138"/>
    </row>
    <row r="105" spans="5:25" s="135" customFormat="1">
      <c r="E105" s="136"/>
      <c r="F105" s="137"/>
      <c r="G105" s="137"/>
      <c r="K105" s="138"/>
      <c r="Q105" s="138"/>
      <c r="Y105" s="138"/>
    </row>
    <row r="106" spans="5:25" s="135" customFormat="1">
      <c r="E106" s="136"/>
      <c r="F106" s="137"/>
      <c r="G106" s="137"/>
      <c r="K106" s="138"/>
      <c r="Q106" s="138"/>
      <c r="Y106" s="138"/>
    </row>
    <row r="107" spans="5:25" s="135" customFormat="1">
      <c r="E107" s="136"/>
      <c r="F107" s="137"/>
      <c r="G107" s="137"/>
      <c r="K107" s="138"/>
      <c r="Q107" s="138"/>
      <c r="Y107" s="138"/>
    </row>
    <row r="108" spans="5:25" s="135" customFormat="1">
      <c r="E108" s="136"/>
      <c r="F108" s="137"/>
      <c r="G108" s="137"/>
      <c r="K108" s="138"/>
      <c r="Q108" s="138"/>
      <c r="Y108" s="138"/>
    </row>
    <row r="109" spans="5:25" s="135" customFormat="1">
      <c r="E109" s="136"/>
      <c r="F109" s="137"/>
      <c r="G109" s="137"/>
      <c r="K109" s="138"/>
      <c r="Q109" s="138"/>
      <c r="Y109" s="138"/>
    </row>
    <row r="110" spans="5:25" s="135" customFormat="1">
      <c r="E110" s="136"/>
      <c r="F110" s="137"/>
      <c r="G110" s="137"/>
      <c r="K110" s="138"/>
      <c r="Q110" s="138"/>
      <c r="Y110" s="138"/>
    </row>
    <row r="111" spans="5:25" s="135" customFormat="1">
      <c r="E111" s="136"/>
      <c r="F111" s="137"/>
      <c r="G111" s="137"/>
      <c r="K111" s="138"/>
      <c r="Q111" s="138"/>
      <c r="Y111" s="138"/>
    </row>
    <row r="112" spans="5:25" s="135" customFormat="1">
      <c r="E112" s="136"/>
      <c r="F112" s="137"/>
      <c r="G112" s="137"/>
      <c r="K112" s="138"/>
      <c r="Q112" s="138"/>
      <c r="Y112" s="138"/>
    </row>
    <row r="113" spans="5:25" s="135" customFormat="1">
      <c r="E113" s="136"/>
      <c r="F113" s="137"/>
      <c r="G113" s="137"/>
      <c r="K113" s="138"/>
      <c r="Q113" s="138"/>
      <c r="Y113" s="138"/>
    </row>
    <row r="114" spans="5:25" s="135" customFormat="1">
      <c r="E114" s="136"/>
      <c r="F114" s="137"/>
      <c r="G114" s="137"/>
      <c r="K114" s="138"/>
      <c r="Q114" s="138"/>
      <c r="Y114" s="138"/>
    </row>
    <row r="115" spans="5:25" s="135" customFormat="1">
      <c r="E115" s="136"/>
      <c r="F115" s="137"/>
      <c r="G115" s="137"/>
      <c r="K115" s="138"/>
      <c r="Q115" s="138"/>
      <c r="Y115" s="138"/>
    </row>
    <row r="116" spans="5:25" s="135" customFormat="1">
      <c r="E116" s="136"/>
      <c r="F116" s="137"/>
      <c r="G116" s="137"/>
      <c r="K116" s="138"/>
      <c r="Q116" s="138"/>
      <c r="Y116" s="138"/>
    </row>
    <row r="117" spans="5:25" s="135" customFormat="1">
      <c r="E117" s="136"/>
      <c r="F117" s="137"/>
      <c r="G117" s="137"/>
      <c r="K117" s="138"/>
      <c r="Q117" s="138"/>
      <c r="Y117" s="138"/>
    </row>
    <row r="118" spans="5:25" s="135" customFormat="1">
      <c r="E118" s="136"/>
      <c r="F118" s="137"/>
      <c r="G118" s="137"/>
      <c r="K118" s="138"/>
      <c r="Q118" s="138"/>
      <c r="Y118" s="138"/>
    </row>
    <row r="119" spans="5:25" s="135" customFormat="1">
      <c r="E119" s="136"/>
      <c r="F119" s="137"/>
      <c r="G119" s="137"/>
      <c r="K119" s="138"/>
      <c r="Q119" s="138"/>
      <c r="Y119" s="138"/>
    </row>
    <row r="120" spans="5:25" s="135" customFormat="1">
      <c r="E120" s="136"/>
      <c r="F120" s="137"/>
      <c r="G120" s="137"/>
      <c r="K120" s="138"/>
      <c r="Q120" s="138"/>
      <c r="Y120" s="138"/>
    </row>
    <row r="121" spans="5:25" s="135" customFormat="1">
      <c r="E121" s="136"/>
      <c r="F121" s="137"/>
      <c r="G121" s="137"/>
      <c r="K121" s="138"/>
      <c r="Q121" s="138"/>
      <c r="Y121" s="138"/>
    </row>
    <row r="122" spans="5:25" s="135" customFormat="1">
      <c r="E122" s="136"/>
      <c r="F122" s="137"/>
      <c r="G122" s="137"/>
      <c r="K122" s="138"/>
      <c r="Q122" s="138"/>
      <c r="Y122" s="138"/>
    </row>
    <row r="123" spans="5:25" s="135" customFormat="1">
      <c r="E123" s="136"/>
      <c r="F123" s="137"/>
      <c r="G123" s="137"/>
      <c r="K123" s="138"/>
      <c r="Q123" s="138"/>
      <c r="Y123" s="138"/>
    </row>
    <row r="124" spans="5:25" s="135" customFormat="1">
      <c r="E124" s="136"/>
      <c r="F124" s="137"/>
      <c r="G124" s="137"/>
      <c r="K124" s="138"/>
      <c r="Q124" s="138"/>
      <c r="Y124" s="138"/>
    </row>
    <row r="125" spans="5:25" s="135" customFormat="1">
      <c r="E125" s="136"/>
      <c r="F125" s="137"/>
      <c r="G125" s="137"/>
      <c r="K125" s="138"/>
      <c r="Q125" s="138"/>
      <c r="Y125" s="138"/>
    </row>
    <row r="126" spans="5:25" s="135" customFormat="1">
      <c r="E126" s="136"/>
      <c r="F126" s="137"/>
      <c r="G126" s="137"/>
      <c r="K126" s="138"/>
      <c r="Q126" s="138"/>
      <c r="Y126" s="138"/>
    </row>
    <row r="127" spans="5:25" s="135" customFormat="1">
      <c r="E127" s="136"/>
      <c r="F127" s="137"/>
      <c r="G127" s="137"/>
      <c r="K127" s="138"/>
      <c r="Q127" s="138"/>
      <c r="Y127" s="138"/>
    </row>
    <row r="128" spans="5:25" s="135" customFormat="1">
      <c r="E128" s="136"/>
      <c r="F128" s="137"/>
      <c r="G128" s="137"/>
      <c r="K128" s="138"/>
      <c r="Q128" s="138"/>
      <c r="Y128" s="138"/>
    </row>
    <row r="129" spans="5:25" s="135" customFormat="1">
      <c r="E129" s="136"/>
      <c r="F129" s="137"/>
      <c r="G129" s="137"/>
      <c r="K129" s="138"/>
      <c r="Q129" s="138"/>
      <c r="Y129" s="138"/>
    </row>
    <row r="130" spans="5:25" s="135" customFormat="1">
      <c r="E130" s="136"/>
      <c r="F130" s="137"/>
      <c r="G130" s="137"/>
      <c r="K130" s="138"/>
      <c r="Q130" s="138"/>
      <c r="Y130" s="138"/>
    </row>
    <row r="131" spans="5:25" s="135" customFormat="1">
      <c r="E131" s="136"/>
      <c r="F131" s="137"/>
      <c r="G131" s="137"/>
      <c r="K131" s="138"/>
      <c r="Q131" s="138"/>
      <c r="Y131" s="138"/>
    </row>
    <row r="132" spans="5:25" s="135" customFormat="1">
      <c r="E132" s="136"/>
      <c r="F132" s="137"/>
      <c r="G132" s="137"/>
      <c r="K132" s="138"/>
      <c r="Q132" s="138"/>
      <c r="Y132" s="138"/>
    </row>
    <row r="133" spans="5:25" s="135" customFormat="1">
      <c r="E133" s="136"/>
      <c r="F133" s="137"/>
      <c r="G133" s="137"/>
      <c r="K133" s="138"/>
      <c r="Q133" s="138"/>
      <c r="Y133" s="138"/>
    </row>
    <row r="134" spans="5:25" s="135" customFormat="1">
      <c r="E134" s="136"/>
      <c r="F134" s="137"/>
      <c r="G134" s="137"/>
      <c r="K134" s="138"/>
      <c r="Q134" s="138"/>
      <c r="Y134" s="138"/>
    </row>
    <row r="135" spans="5:25" s="135" customFormat="1">
      <c r="E135" s="136"/>
      <c r="F135" s="137"/>
      <c r="G135" s="137"/>
      <c r="K135" s="138"/>
      <c r="Q135" s="138"/>
      <c r="Y135" s="138"/>
    </row>
    <row r="136" spans="5:25" s="135" customFormat="1">
      <c r="E136" s="136"/>
      <c r="F136" s="137"/>
      <c r="G136" s="137"/>
      <c r="K136" s="138"/>
      <c r="Q136" s="138"/>
      <c r="Y136" s="138"/>
    </row>
    <row r="137" spans="5:25" s="135" customFormat="1">
      <c r="E137" s="136"/>
      <c r="F137" s="137"/>
      <c r="G137" s="137"/>
      <c r="K137" s="138"/>
      <c r="Q137" s="138"/>
      <c r="Y137" s="138"/>
    </row>
    <row r="138" spans="5:25" s="135" customFormat="1">
      <c r="E138" s="136"/>
      <c r="F138" s="137"/>
      <c r="G138" s="137"/>
      <c r="K138" s="138"/>
      <c r="Q138" s="138"/>
      <c r="Y138" s="138"/>
    </row>
    <row r="139" spans="5:25" s="135" customFormat="1">
      <c r="E139" s="136"/>
      <c r="F139" s="137"/>
      <c r="G139" s="137"/>
      <c r="K139" s="138"/>
      <c r="Q139" s="138"/>
      <c r="Y139" s="138"/>
    </row>
    <row r="140" spans="5:25" s="135" customFormat="1">
      <c r="E140" s="136"/>
      <c r="F140" s="137"/>
      <c r="G140" s="137"/>
      <c r="K140" s="138"/>
      <c r="Q140" s="138"/>
      <c r="Y140" s="138"/>
    </row>
    <row r="141" spans="5:25" s="135" customFormat="1">
      <c r="E141" s="136"/>
      <c r="F141" s="137"/>
      <c r="G141" s="137"/>
      <c r="K141" s="138"/>
      <c r="Q141" s="138"/>
      <c r="Y141" s="138"/>
    </row>
    <row r="142" spans="5:25" s="135" customFormat="1">
      <c r="E142" s="136"/>
      <c r="F142" s="137"/>
      <c r="G142" s="137"/>
      <c r="K142" s="138"/>
      <c r="Q142" s="138"/>
      <c r="Y142" s="138"/>
    </row>
    <row r="143" spans="5:25" s="135" customFormat="1">
      <c r="E143" s="136"/>
      <c r="F143" s="137"/>
      <c r="G143" s="137"/>
      <c r="K143" s="138"/>
      <c r="Q143" s="138"/>
      <c r="Y143" s="138"/>
    </row>
    <row r="144" spans="5:25" s="135" customFormat="1">
      <c r="E144" s="136"/>
      <c r="F144" s="137"/>
      <c r="G144" s="137"/>
      <c r="K144" s="138"/>
      <c r="Q144" s="138"/>
      <c r="Y144" s="138"/>
    </row>
    <row r="145" spans="5:25" s="135" customFormat="1">
      <c r="E145" s="136"/>
      <c r="F145" s="137"/>
      <c r="G145" s="137"/>
      <c r="K145" s="138"/>
      <c r="Q145" s="138"/>
      <c r="Y145" s="138"/>
    </row>
    <row r="146" spans="5:25" s="135" customFormat="1">
      <c r="E146" s="136"/>
      <c r="F146" s="137"/>
      <c r="G146" s="137"/>
      <c r="K146" s="138"/>
      <c r="Q146" s="138"/>
      <c r="Y146" s="138"/>
    </row>
    <row r="147" spans="5:25" s="135" customFormat="1">
      <c r="E147" s="136"/>
      <c r="F147" s="137"/>
      <c r="G147" s="137"/>
      <c r="K147" s="138"/>
      <c r="Q147" s="138"/>
      <c r="Y147" s="138"/>
    </row>
    <row r="148" spans="5:25" s="135" customFormat="1">
      <c r="E148" s="136"/>
      <c r="F148" s="137"/>
      <c r="G148" s="137"/>
      <c r="K148" s="138"/>
      <c r="Q148" s="138"/>
      <c r="Y148" s="138"/>
    </row>
    <row r="149" spans="5:25" s="135" customFormat="1">
      <c r="E149" s="136"/>
      <c r="F149" s="137"/>
      <c r="G149" s="137"/>
      <c r="K149" s="138"/>
      <c r="Q149" s="138"/>
      <c r="Y149" s="138"/>
    </row>
    <row r="150" spans="5:25" s="135" customFormat="1">
      <c r="E150" s="136"/>
      <c r="F150" s="137"/>
      <c r="G150" s="137"/>
      <c r="K150" s="138"/>
      <c r="Q150" s="138"/>
      <c r="Y150" s="138"/>
    </row>
    <row r="151" spans="5:25" s="135" customFormat="1">
      <c r="E151" s="136"/>
      <c r="F151" s="137"/>
      <c r="G151" s="137"/>
      <c r="K151" s="138"/>
      <c r="Q151" s="138"/>
      <c r="Y151" s="138"/>
    </row>
    <row r="152" spans="5:25" s="135" customFormat="1">
      <c r="E152" s="136"/>
      <c r="F152" s="137"/>
      <c r="G152" s="137"/>
      <c r="K152" s="138"/>
      <c r="Q152" s="138"/>
      <c r="Y152" s="138"/>
    </row>
    <row r="153" spans="5:25" s="135" customFormat="1">
      <c r="E153" s="136"/>
      <c r="F153" s="137"/>
      <c r="G153" s="137"/>
      <c r="K153" s="138"/>
      <c r="Q153" s="138"/>
      <c r="Y153" s="138"/>
    </row>
    <row r="154" spans="5:25" s="135" customFormat="1">
      <c r="E154" s="136"/>
      <c r="F154" s="137"/>
      <c r="G154" s="137"/>
      <c r="K154" s="138"/>
      <c r="Q154" s="138"/>
      <c r="Y154" s="138"/>
    </row>
    <row r="155" spans="5:25" s="135" customFormat="1">
      <c r="E155" s="136"/>
      <c r="F155" s="137"/>
      <c r="G155" s="137"/>
      <c r="K155" s="138"/>
      <c r="Q155" s="138"/>
      <c r="Y155" s="138"/>
    </row>
    <row r="156" spans="5:25" s="135" customFormat="1">
      <c r="E156" s="136"/>
      <c r="F156" s="137"/>
      <c r="G156" s="137"/>
      <c r="K156" s="138"/>
      <c r="Q156" s="138"/>
      <c r="Y156" s="138"/>
    </row>
    <row r="157" spans="5:25" s="135" customFormat="1">
      <c r="E157" s="136"/>
      <c r="F157" s="137"/>
      <c r="G157" s="137"/>
      <c r="K157" s="138"/>
      <c r="Q157" s="138"/>
      <c r="Y157" s="138"/>
    </row>
    <row r="158" spans="5:25" s="135" customFormat="1">
      <c r="E158" s="136"/>
      <c r="F158" s="137"/>
      <c r="G158" s="137"/>
      <c r="K158" s="138"/>
      <c r="Q158" s="138"/>
      <c r="Y158" s="138"/>
    </row>
    <row r="159" spans="5:25" s="135" customFormat="1">
      <c r="E159" s="136"/>
      <c r="F159" s="137"/>
      <c r="G159" s="137"/>
      <c r="K159" s="138"/>
      <c r="Q159" s="138"/>
      <c r="Y159" s="138"/>
    </row>
    <row r="160" spans="5:25" s="135" customFormat="1">
      <c r="E160" s="136"/>
      <c r="F160" s="137"/>
      <c r="G160" s="137"/>
      <c r="K160" s="138"/>
      <c r="Q160" s="138"/>
      <c r="Y160" s="138"/>
    </row>
    <row r="161" spans="5:25" s="135" customFormat="1">
      <c r="E161" s="136"/>
      <c r="F161" s="137"/>
      <c r="G161" s="137"/>
      <c r="K161" s="138"/>
      <c r="Q161" s="138"/>
      <c r="Y161" s="138"/>
    </row>
    <row r="162" spans="5:25" s="135" customFormat="1">
      <c r="E162" s="136"/>
      <c r="F162" s="137"/>
      <c r="G162" s="137"/>
      <c r="K162" s="138"/>
      <c r="Q162" s="138"/>
      <c r="Y162" s="138"/>
    </row>
    <row r="163" spans="5:25" s="135" customFormat="1">
      <c r="E163" s="136"/>
      <c r="F163" s="137"/>
      <c r="G163" s="137"/>
      <c r="K163" s="138"/>
      <c r="Q163" s="138"/>
      <c r="Y163" s="138"/>
    </row>
    <row r="164" spans="5:25" s="135" customFormat="1">
      <c r="E164" s="136"/>
      <c r="F164" s="137"/>
      <c r="G164" s="137"/>
      <c r="K164" s="138"/>
      <c r="Q164" s="138"/>
      <c r="Y164" s="138"/>
    </row>
    <row r="165" spans="5:25" s="135" customFormat="1">
      <c r="E165" s="136"/>
      <c r="F165" s="137"/>
      <c r="G165" s="137"/>
      <c r="K165" s="138"/>
      <c r="Q165" s="138"/>
      <c r="Y165" s="138"/>
    </row>
    <row r="166" spans="5:25" s="135" customFormat="1">
      <c r="E166" s="136"/>
      <c r="F166" s="137"/>
      <c r="G166" s="137"/>
      <c r="K166" s="138"/>
      <c r="Q166" s="138"/>
      <c r="Y166" s="138"/>
    </row>
    <row r="167" spans="5:25" s="135" customFormat="1">
      <c r="E167" s="136"/>
      <c r="F167" s="137"/>
      <c r="G167" s="137"/>
      <c r="K167" s="138"/>
      <c r="Q167" s="138"/>
      <c r="Y167" s="138"/>
    </row>
    <row r="168" spans="5:25" s="135" customFormat="1">
      <c r="E168" s="136"/>
      <c r="F168" s="137"/>
      <c r="G168" s="137"/>
      <c r="K168" s="138"/>
      <c r="Q168" s="138"/>
      <c r="Y168" s="138"/>
    </row>
    <row r="169" spans="5:25" s="135" customFormat="1">
      <c r="E169" s="136"/>
      <c r="F169" s="137"/>
      <c r="G169" s="137"/>
      <c r="K169" s="138"/>
      <c r="Q169" s="138"/>
      <c r="Y169" s="138"/>
    </row>
    <row r="170" spans="5:25" s="135" customFormat="1">
      <c r="E170" s="136"/>
      <c r="F170" s="137"/>
      <c r="G170" s="137"/>
      <c r="K170" s="138"/>
      <c r="Q170" s="138"/>
      <c r="Y170" s="138"/>
    </row>
    <row r="171" spans="5:25" s="135" customFormat="1">
      <c r="E171" s="136"/>
      <c r="F171" s="137"/>
      <c r="G171" s="137"/>
      <c r="K171" s="138"/>
      <c r="Q171" s="138"/>
      <c r="Y171" s="138"/>
    </row>
    <row r="172" spans="5:25" s="135" customFormat="1">
      <c r="E172" s="136"/>
      <c r="F172" s="137"/>
      <c r="G172" s="137"/>
      <c r="K172" s="138"/>
      <c r="Q172" s="138"/>
      <c r="Y172" s="138"/>
    </row>
    <row r="173" spans="5:25" s="135" customFormat="1">
      <c r="E173" s="136"/>
      <c r="F173" s="137"/>
      <c r="G173" s="137"/>
      <c r="K173" s="138"/>
      <c r="Q173" s="138"/>
      <c r="Y173" s="138"/>
    </row>
    <row r="174" spans="5:25" s="135" customFormat="1">
      <c r="E174" s="136"/>
      <c r="F174" s="137"/>
      <c r="G174" s="137"/>
      <c r="K174" s="138"/>
      <c r="Q174" s="138"/>
      <c r="Y174" s="138"/>
    </row>
    <row r="175" spans="5:25" s="135" customFormat="1">
      <c r="E175" s="136"/>
      <c r="F175" s="137"/>
      <c r="G175" s="137"/>
      <c r="K175" s="138"/>
      <c r="Q175" s="138"/>
      <c r="Y175" s="138"/>
    </row>
    <row r="176" spans="5:25" s="135" customFormat="1">
      <c r="E176" s="136"/>
      <c r="F176" s="137"/>
      <c r="G176" s="137"/>
      <c r="K176" s="138"/>
      <c r="Q176" s="138"/>
      <c r="Y176" s="138"/>
    </row>
    <row r="177" spans="5:25" s="135" customFormat="1">
      <c r="E177" s="136"/>
      <c r="F177" s="137"/>
      <c r="G177" s="137"/>
      <c r="K177" s="138"/>
      <c r="Q177" s="138"/>
      <c r="Y177" s="138"/>
    </row>
    <row r="178" spans="5:25" s="135" customFormat="1">
      <c r="E178" s="136"/>
      <c r="F178" s="137"/>
      <c r="G178" s="137"/>
      <c r="K178" s="138"/>
      <c r="Q178" s="138"/>
      <c r="Y178" s="138"/>
    </row>
    <row r="179" spans="5:25" s="135" customFormat="1">
      <c r="E179" s="136"/>
      <c r="F179" s="137"/>
      <c r="G179" s="137"/>
      <c r="K179" s="138"/>
      <c r="Q179" s="138"/>
      <c r="Y179" s="138"/>
    </row>
    <row r="180" spans="5:25" s="135" customFormat="1">
      <c r="E180" s="136"/>
      <c r="F180" s="137"/>
      <c r="G180" s="137"/>
      <c r="K180" s="138"/>
      <c r="Q180" s="138"/>
      <c r="Y180" s="138"/>
    </row>
    <row r="181" spans="5:25" s="135" customFormat="1">
      <c r="E181" s="136"/>
      <c r="F181" s="137"/>
      <c r="G181" s="137"/>
      <c r="K181" s="138"/>
      <c r="Q181" s="138"/>
      <c r="Y181" s="138"/>
    </row>
    <row r="182" spans="5:25" s="135" customFormat="1">
      <c r="E182" s="136"/>
      <c r="F182" s="137"/>
      <c r="G182" s="137"/>
      <c r="K182" s="138"/>
      <c r="Q182" s="138"/>
      <c r="Y182" s="138"/>
    </row>
    <row r="183" spans="5:25" s="135" customFormat="1">
      <c r="E183" s="136"/>
      <c r="F183" s="137"/>
      <c r="G183" s="137"/>
      <c r="K183" s="138"/>
      <c r="Q183" s="138"/>
      <c r="Y183" s="138"/>
    </row>
    <row r="184" spans="5:25" s="135" customFormat="1">
      <c r="E184" s="136"/>
      <c r="F184" s="137"/>
      <c r="G184" s="137"/>
      <c r="K184" s="138"/>
      <c r="Q184" s="138"/>
      <c r="Y184" s="138"/>
    </row>
    <row r="185" spans="5:25" s="135" customFormat="1">
      <c r="E185" s="136"/>
      <c r="F185" s="137"/>
      <c r="G185" s="137"/>
      <c r="K185" s="138"/>
      <c r="Q185" s="138"/>
      <c r="Y185" s="138"/>
    </row>
    <row r="186" spans="5:25" s="135" customFormat="1">
      <c r="E186" s="136"/>
      <c r="F186" s="137"/>
      <c r="G186" s="137"/>
      <c r="K186" s="138"/>
      <c r="Q186" s="138"/>
      <c r="Y186" s="138"/>
    </row>
    <row r="187" spans="5:25" s="135" customFormat="1">
      <c r="E187" s="136"/>
      <c r="F187" s="137"/>
      <c r="G187" s="137"/>
      <c r="K187" s="138"/>
      <c r="Q187" s="138"/>
      <c r="Y187" s="138"/>
    </row>
    <row r="188" spans="5:25" s="135" customFormat="1">
      <c r="E188" s="136"/>
      <c r="F188" s="137"/>
      <c r="G188" s="137"/>
      <c r="K188" s="138"/>
      <c r="Q188" s="138"/>
      <c r="Y188" s="138"/>
    </row>
    <row r="189" spans="5:25" s="135" customFormat="1">
      <c r="E189" s="136"/>
      <c r="F189" s="137"/>
      <c r="G189" s="137"/>
      <c r="K189" s="138"/>
      <c r="Q189" s="138"/>
      <c r="Y189" s="138"/>
    </row>
    <row r="190" spans="5:25" s="135" customFormat="1">
      <c r="E190" s="136"/>
      <c r="F190" s="137"/>
      <c r="G190" s="137"/>
      <c r="K190" s="138"/>
      <c r="Q190" s="138"/>
      <c r="Y190" s="138"/>
    </row>
    <row r="191" spans="5:25" s="135" customFormat="1">
      <c r="E191" s="136"/>
      <c r="F191" s="137"/>
      <c r="G191" s="137"/>
      <c r="K191" s="138"/>
      <c r="Q191" s="138"/>
      <c r="Y191" s="138"/>
    </row>
    <row r="192" spans="5:25" s="135" customFormat="1">
      <c r="E192" s="136"/>
      <c r="F192" s="137"/>
      <c r="G192" s="137"/>
      <c r="K192" s="138"/>
      <c r="Q192" s="138"/>
      <c r="Y192" s="138"/>
    </row>
    <row r="193" spans="5:25" s="135" customFormat="1">
      <c r="E193" s="136"/>
      <c r="F193" s="137"/>
      <c r="G193" s="137"/>
      <c r="K193" s="138"/>
      <c r="Q193" s="138"/>
      <c r="Y193" s="138"/>
    </row>
    <row r="194" spans="5:25" s="135" customFormat="1">
      <c r="E194" s="136"/>
      <c r="F194" s="137"/>
      <c r="G194" s="137"/>
      <c r="K194" s="138"/>
      <c r="Q194" s="138"/>
      <c r="Y194" s="138"/>
    </row>
    <row r="195" spans="5:25" s="135" customFormat="1">
      <c r="E195" s="136"/>
      <c r="F195" s="137"/>
      <c r="G195" s="137"/>
      <c r="K195" s="138"/>
      <c r="Q195" s="138"/>
      <c r="Y195" s="138"/>
    </row>
    <row r="196" spans="5:25" s="135" customFormat="1">
      <c r="E196" s="136"/>
      <c r="F196" s="137"/>
      <c r="G196" s="137"/>
      <c r="K196" s="138"/>
      <c r="Q196" s="138"/>
      <c r="Y196" s="138"/>
    </row>
    <row r="197" spans="5:25" s="135" customFormat="1">
      <c r="E197" s="136"/>
      <c r="F197" s="137"/>
      <c r="G197" s="137"/>
      <c r="K197" s="138"/>
      <c r="Q197" s="138"/>
      <c r="Y197" s="138"/>
    </row>
    <row r="198" spans="5:25" s="135" customFormat="1">
      <c r="E198" s="136"/>
      <c r="F198" s="137"/>
      <c r="G198" s="137"/>
      <c r="K198" s="138"/>
      <c r="Q198" s="138"/>
      <c r="Y198" s="138"/>
    </row>
    <row r="199" spans="5:25" s="135" customFormat="1">
      <c r="E199" s="136"/>
      <c r="F199" s="137"/>
      <c r="G199" s="137"/>
      <c r="K199" s="138"/>
      <c r="Q199" s="138"/>
      <c r="Y199" s="138"/>
    </row>
    <row r="200" spans="5:25" s="135" customFormat="1">
      <c r="E200" s="136"/>
      <c r="F200" s="137"/>
      <c r="G200" s="137"/>
      <c r="K200" s="138"/>
      <c r="Q200" s="138"/>
      <c r="Y200" s="138"/>
    </row>
    <row r="201" spans="5:25" s="135" customFormat="1">
      <c r="E201" s="136"/>
      <c r="F201" s="137"/>
      <c r="G201" s="137"/>
      <c r="K201" s="138"/>
      <c r="Q201" s="138"/>
      <c r="Y201" s="138"/>
    </row>
    <row r="202" spans="5:25" s="135" customFormat="1">
      <c r="E202" s="136"/>
      <c r="F202" s="137"/>
      <c r="G202" s="137"/>
      <c r="K202" s="138"/>
      <c r="Q202" s="138"/>
      <c r="Y202" s="138"/>
    </row>
    <row r="203" spans="5:25" s="135" customFormat="1">
      <c r="E203" s="136"/>
      <c r="F203" s="137"/>
      <c r="G203" s="137"/>
      <c r="K203" s="138"/>
      <c r="Q203" s="138"/>
      <c r="Y203" s="138"/>
    </row>
    <row r="204" spans="5:25" s="135" customFormat="1">
      <c r="E204" s="136"/>
      <c r="F204" s="137"/>
      <c r="G204" s="137"/>
      <c r="K204" s="138"/>
      <c r="Q204" s="138"/>
      <c r="Y204" s="138"/>
    </row>
    <row r="205" spans="5:25" s="135" customFormat="1">
      <c r="E205" s="136"/>
      <c r="F205" s="137"/>
      <c r="G205" s="137"/>
      <c r="K205" s="138"/>
      <c r="Q205" s="138"/>
      <c r="Y205" s="138"/>
    </row>
    <row r="206" spans="5:25" s="135" customFormat="1">
      <c r="E206" s="136"/>
      <c r="F206" s="137"/>
      <c r="G206" s="137"/>
      <c r="K206" s="138"/>
      <c r="Q206" s="138"/>
      <c r="Y206" s="138"/>
    </row>
    <row r="207" spans="5:25" s="135" customFormat="1">
      <c r="E207" s="136"/>
      <c r="F207" s="137"/>
      <c r="G207" s="137"/>
      <c r="K207" s="138"/>
      <c r="Q207" s="138"/>
      <c r="Y207" s="138"/>
    </row>
    <row r="208" spans="5:25" s="135" customFormat="1">
      <c r="E208" s="136"/>
      <c r="F208" s="137"/>
      <c r="G208" s="137"/>
      <c r="K208" s="138"/>
      <c r="Q208" s="138"/>
      <c r="Y208" s="138"/>
    </row>
    <row r="209" spans="5:25" s="135" customFormat="1">
      <c r="E209" s="136"/>
      <c r="F209" s="137"/>
      <c r="G209" s="137"/>
      <c r="K209" s="138"/>
      <c r="Q209" s="138"/>
      <c r="Y209" s="138"/>
    </row>
    <row r="210" spans="5:25" s="135" customFormat="1">
      <c r="E210" s="136"/>
      <c r="F210" s="137"/>
      <c r="G210" s="137"/>
      <c r="K210" s="138"/>
      <c r="Q210" s="138"/>
      <c r="Y210" s="138"/>
    </row>
    <row r="211" spans="5:25" s="135" customFormat="1">
      <c r="E211" s="136"/>
      <c r="F211" s="137"/>
      <c r="G211" s="137"/>
      <c r="K211" s="138"/>
      <c r="Q211" s="138"/>
      <c r="Y211" s="138"/>
    </row>
    <row r="212" spans="5:25" s="135" customFormat="1">
      <c r="E212" s="136"/>
      <c r="F212" s="137"/>
      <c r="G212" s="137"/>
      <c r="K212" s="138"/>
      <c r="Q212" s="138"/>
      <c r="Y212" s="138"/>
    </row>
    <row r="213" spans="5:25" s="135" customFormat="1">
      <c r="E213" s="136"/>
      <c r="F213" s="137"/>
      <c r="G213" s="137"/>
      <c r="K213" s="138"/>
      <c r="Q213" s="138"/>
      <c r="Y213" s="138"/>
    </row>
    <row r="214" spans="5:25" s="135" customFormat="1">
      <c r="E214" s="136"/>
      <c r="F214" s="137"/>
      <c r="G214" s="137"/>
      <c r="K214" s="138"/>
      <c r="Q214" s="138"/>
      <c r="Y214" s="138"/>
    </row>
    <row r="215" spans="5:25" s="135" customFormat="1">
      <c r="E215" s="136"/>
      <c r="F215" s="137"/>
      <c r="G215" s="137"/>
      <c r="K215" s="138"/>
      <c r="Q215" s="138"/>
      <c r="Y215" s="138"/>
    </row>
    <row r="216" spans="5:25" s="135" customFormat="1">
      <c r="E216" s="136"/>
      <c r="F216" s="137"/>
      <c r="G216" s="137"/>
      <c r="K216" s="138"/>
      <c r="Q216" s="138"/>
      <c r="Y216" s="138"/>
    </row>
    <row r="217" spans="5:25" s="135" customFormat="1">
      <c r="E217" s="136"/>
      <c r="F217" s="137"/>
      <c r="G217" s="137"/>
      <c r="K217" s="138"/>
      <c r="Q217" s="138"/>
      <c r="Y217" s="138"/>
    </row>
    <row r="218" spans="5:25" s="135" customFormat="1">
      <c r="E218" s="136"/>
      <c r="F218" s="137"/>
      <c r="G218" s="137"/>
      <c r="K218" s="138"/>
      <c r="Q218" s="138"/>
      <c r="Y218" s="138"/>
    </row>
    <row r="219" spans="5:25" s="135" customFormat="1">
      <c r="E219" s="136"/>
      <c r="F219" s="137"/>
      <c r="G219" s="137"/>
      <c r="K219" s="138"/>
      <c r="Q219" s="138"/>
      <c r="Y219" s="138"/>
    </row>
    <row r="220" spans="5:25" s="135" customFormat="1">
      <c r="E220" s="136"/>
      <c r="F220" s="137"/>
      <c r="G220" s="137"/>
      <c r="K220" s="138"/>
      <c r="Q220" s="138"/>
      <c r="Y220" s="138"/>
    </row>
    <row r="221" spans="5:25" s="135" customFormat="1">
      <c r="E221" s="136"/>
      <c r="F221" s="137"/>
      <c r="G221" s="137"/>
      <c r="K221" s="138"/>
      <c r="Q221" s="138"/>
      <c r="Y221" s="138"/>
    </row>
    <row r="222" spans="5:25" s="135" customFormat="1">
      <c r="E222" s="136"/>
      <c r="F222" s="137"/>
      <c r="G222" s="137"/>
      <c r="K222" s="138"/>
      <c r="Q222" s="138"/>
      <c r="Y222" s="138"/>
    </row>
    <row r="223" spans="5:25" s="135" customFormat="1">
      <c r="E223" s="136"/>
      <c r="F223" s="137"/>
      <c r="G223" s="137"/>
      <c r="K223" s="138"/>
      <c r="Q223" s="138"/>
      <c r="Y223" s="138"/>
    </row>
    <row r="224" spans="5:25" s="135" customFormat="1">
      <c r="E224" s="136"/>
      <c r="F224" s="137"/>
      <c r="G224" s="137"/>
      <c r="K224" s="138"/>
      <c r="Q224" s="138"/>
      <c r="Y224" s="138"/>
    </row>
    <row r="225" spans="5:25" s="135" customFormat="1">
      <c r="E225" s="136"/>
      <c r="F225" s="137"/>
      <c r="G225" s="137"/>
      <c r="K225" s="138"/>
      <c r="Q225" s="138"/>
      <c r="Y225" s="138"/>
    </row>
    <row r="226" spans="5:25" s="135" customFormat="1">
      <c r="E226" s="136"/>
      <c r="F226" s="137"/>
      <c r="G226" s="137"/>
      <c r="K226" s="138"/>
      <c r="Q226" s="138"/>
      <c r="Y226" s="138"/>
    </row>
    <row r="227" spans="5:25" s="135" customFormat="1">
      <c r="E227" s="136"/>
      <c r="F227" s="137"/>
      <c r="G227" s="137"/>
      <c r="K227" s="138"/>
      <c r="Q227" s="138"/>
      <c r="Y227" s="138"/>
    </row>
    <row r="228" spans="5:25" s="135" customFormat="1">
      <c r="E228" s="136"/>
      <c r="F228" s="137"/>
      <c r="G228" s="137"/>
      <c r="K228" s="138"/>
      <c r="Q228" s="138"/>
      <c r="Y228" s="138"/>
    </row>
    <row r="229" spans="5:25" s="135" customFormat="1">
      <c r="E229" s="136"/>
      <c r="F229" s="137"/>
      <c r="G229" s="137"/>
      <c r="K229" s="138"/>
      <c r="Q229" s="138"/>
      <c r="Y229" s="138"/>
    </row>
    <row r="230" spans="5:25" s="135" customFormat="1">
      <c r="E230" s="136"/>
      <c r="F230" s="137"/>
      <c r="G230" s="137"/>
      <c r="K230" s="138"/>
      <c r="Q230" s="138"/>
      <c r="Y230" s="138"/>
    </row>
    <row r="231" spans="5:25" s="135" customFormat="1">
      <c r="E231" s="136"/>
      <c r="F231" s="137"/>
      <c r="G231" s="137"/>
      <c r="K231" s="138"/>
      <c r="Q231" s="138"/>
      <c r="Y231" s="138"/>
    </row>
    <row r="232" spans="5:25" s="135" customFormat="1">
      <c r="E232" s="136"/>
      <c r="F232" s="137"/>
      <c r="G232" s="137"/>
      <c r="K232" s="138"/>
      <c r="Q232" s="138"/>
      <c r="Y232" s="138"/>
    </row>
    <row r="233" spans="5:25" s="135" customFormat="1">
      <c r="E233" s="136"/>
      <c r="F233" s="137"/>
      <c r="G233" s="137"/>
      <c r="K233" s="138"/>
      <c r="Q233" s="138"/>
      <c r="Y233" s="138"/>
    </row>
    <row r="234" spans="5:25" s="135" customFormat="1">
      <c r="E234" s="136"/>
      <c r="F234" s="137"/>
      <c r="G234" s="137"/>
      <c r="K234" s="138"/>
      <c r="Q234" s="138"/>
      <c r="Y234" s="138"/>
    </row>
    <row r="235" spans="5:25" s="135" customFormat="1">
      <c r="E235" s="136"/>
      <c r="F235" s="137"/>
      <c r="G235" s="137"/>
      <c r="K235" s="138"/>
      <c r="Q235" s="138"/>
      <c r="Y235" s="138"/>
    </row>
    <row r="236" spans="5:25" s="135" customFormat="1">
      <c r="E236" s="136"/>
      <c r="F236" s="137"/>
      <c r="G236" s="137"/>
      <c r="K236" s="138"/>
      <c r="Q236" s="138"/>
      <c r="Y236" s="138"/>
    </row>
    <row r="237" spans="5:25" s="135" customFormat="1">
      <c r="E237" s="136"/>
      <c r="F237" s="137"/>
      <c r="G237" s="137"/>
      <c r="K237" s="138"/>
      <c r="Q237" s="138"/>
      <c r="Y237" s="138"/>
    </row>
    <row r="238" spans="5:25" s="135" customFormat="1">
      <c r="E238" s="136"/>
      <c r="F238" s="137"/>
      <c r="G238" s="137"/>
      <c r="K238" s="138"/>
      <c r="Q238" s="138"/>
      <c r="Y238" s="138"/>
    </row>
    <row r="239" spans="5:25" s="135" customFormat="1">
      <c r="E239" s="136"/>
      <c r="F239" s="137"/>
      <c r="G239" s="137"/>
      <c r="K239" s="138"/>
      <c r="Q239" s="138"/>
      <c r="Y239" s="138"/>
    </row>
    <row r="240" spans="5:25" s="135" customFormat="1">
      <c r="E240" s="136"/>
      <c r="F240" s="137"/>
      <c r="G240" s="137"/>
      <c r="K240" s="138"/>
      <c r="Q240" s="138"/>
      <c r="Y240" s="138"/>
    </row>
    <row r="241" spans="5:25" s="135" customFormat="1">
      <c r="E241" s="136"/>
      <c r="F241" s="137"/>
      <c r="G241" s="137"/>
      <c r="K241" s="138"/>
      <c r="Q241" s="138"/>
      <c r="Y241" s="138"/>
    </row>
    <row r="242" spans="5:25" s="135" customFormat="1">
      <c r="E242" s="136"/>
      <c r="F242" s="137"/>
      <c r="G242" s="137"/>
      <c r="K242" s="138"/>
      <c r="Q242" s="138"/>
      <c r="Y242" s="138"/>
    </row>
    <row r="243" spans="5:25" s="135" customFormat="1">
      <c r="E243" s="136"/>
      <c r="F243" s="137"/>
      <c r="G243" s="137"/>
      <c r="K243" s="138"/>
      <c r="Q243" s="138"/>
      <c r="Y243" s="138"/>
    </row>
    <row r="244" spans="5:25" s="135" customFormat="1">
      <c r="E244" s="136"/>
      <c r="F244" s="137"/>
      <c r="G244" s="137"/>
      <c r="K244" s="138"/>
      <c r="Q244" s="138"/>
      <c r="Y244" s="138"/>
    </row>
    <row r="245" spans="5:25" s="135" customFormat="1">
      <c r="E245" s="136"/>
      <c r="F245" s="137"/>
      <c r="G245" s="137"/>
      <c r="K245" s="138"/>
      <c r="Q245" s="138"/>
      <c r="Y245" s="138"/>
    </row>
    <row r="246" spans="5:25" s="135" customFormat="1">
      <c r="E246" s="136"/>
      <c r="F246" s="137"/>
      <c r="G246" s="137"/>
      <c r="K246" s="138"/>
      <c r="Q246" s="138"/>
      <c r="Y246" s="138"/>
    </row>
    <row r="247" spans="5:25" s="135" customFormat="1">
      <c r="E247" s="136"/>
      <c r="F247" s="137"/>
      <c r="G247" s="137"/>
      <c r="K247" s="138"/>
      <c r="Q247" s="138"/>
      <c r="Y247" s="138"/>
    </row>
    <row r="248" spans="5:25" s="135" customFormat="1">
      <c r="E248" s="136"/>
      <c r="F248" s="137"/>
      <c r="G248" s="137"/>
      <c r="K248" s="138"/>
      <c r="Q248" s="138"/>
      <c r="Y248" s="138"/>
    </row>
    <row r="249" spans="5:25" s="135" customFormat="1">
      <c r="E249" s="136"/>
      <c r="F249" s="137"/>
      <c r="G249" s="137"/>
      <c r="K249" s="138"/>
      <c r="Q249" s="138"/>
      <c r="Y249" s="138"/>
    </row>
    <row r="250" spans="5:25" s="135" customFormat="1">
      <c r="E250" s="136"/>
      <c r="F250" s="137"/>
      <c r="G250" s="137"/>
      <c r="K250" s="138"/>
      <c r="Q250" s="138"/>
      <c r="Y250" s="138"/>
    </row>
    <row r="251" spans="5:25" s="135" customFormat="1">
      <c r="E251" s="136"/>
      <c r="F251" s="137"/>
      <c r="G251" s="137"/>
      <c r="K251" s="138"/>
      <c r="Q251" s="138"/>
      <c r="Y251" s="138"/>
    </row>
    <row r="252" spans="5:25" s="135" customFormat="1">
      <c r="E252" s="136"/>
      <c r="F252" s="137"/>
      <c r="G252" s="137"/>
      <c r="K252" s="138"/>
      <c r="Q252" s="138"/>
      <c r="Y252" s="138"/>
    </row>
    <row r="253" spans="5:25" s="135" customFormat="1">
      <c r="E253" s="136"/>
      <c r="F253" s="137"/>
      <c r="G253" s="137"/>
      <c r="K253" s="138"/>
      <c r="Q253" s="138"/>
      <c r="Y253" s="138"/>
    </row>
    <row r="254" spans="5:25" s="135" customFormat="1">
      <c r="E254" s="136"/>
      <c r="F254" s="137"/>
      <c r="G254" s="137"/>
      <c r="K254" s="138"/>
      <c r="Q254" s="138"/>
      <c r="Y254" s="138"/>
    </row>
    <row r="255" spans="5:25" s="135" customFormat="1">
      <c r="E255" s="136"/>
      <c r="F255" s="137"/>
      <c r="G255" s="137"/>
      <c r="K255" s="138"/>
      <c r="Q255" s="138"/>
      <c r="Y255" s="138"/>
    </row>
    <row r="256" spans="5:25" s="135" customFormat="1">
      <c r="E256" s="136"/>
      <c r="F256" s="137"/>
      <c r="G256" s="137"/>
      <c r="K256" s="138"/>
      <c r="Q256" s="138"/>
      <c r="Y256" s="138"/>
    </row>
    <row r="257" spans="5:25" s="135" customFormat="1">
      <c r="E257" s="136"/>
      <c r="F257" s="137"/>
      <c r="G257" s="137"/>
      <c r="K257" s="138"/>
      <c r="Q257" s="138"/>
      <c r="Y257" s="138"/>
    </row>
    <row r="258" spans="5:25" s="135" customFormat="1">
      <c r="E258" s="136"/>
      <c r="F258" s="137"/>
      <c r="G258" s="137"/>
      <c r="K258" s="138"/>
      <c r="Q258" s="138"/>
      <c r="Y258" s="138"/>
    </row>
    <row r="259" spans="5:25" s="135" customFormat="1">
      <c r="E259" s="136"/>
      <c r="F259" s="137"/>
      <c r="G259" s="137"/>
      <c r="K259" s="138"/>
      <c r="Q259" s="138"/>
      <c r="Y259" s="138"/>
    </row>
    <row r="260" spans="5:25" s="135" customFormat="1">
      <c r="E260" s="136"/>
      <c r="F260" s="137"/>
      <c r="G260" s="137"/>
      <c r="K260" s="138"/>
      <c r="Q260" s="138"/>
      <c r="Y260" s="138"/>
    </row>
    <row r="261" spans="5:25" s="135" customFormat="1">
      <c r="E261" s="136"/>
      <c r="F261" s="137"/>
      <c r="G261" s="137"/>
      <c r="K261" s="138"/>
      <c r="Q261" s="138"/>
      <c r="Y261" s="138"/>
    </row>
    <row r="262" spans="5:25" s="135" customFormat="1">
      <c r="E262" s="136"/>
      <c r="F262" s="137"/>
      <c r="G262" s="137"/>
      <c r="K262" s="138"/>
      <c r="Q262" s="138"/>
      <c r="Y262" s="138"/>
    </row>
    <row r="263" spans="5:25" s="135" customFormat="1">
      <c r="E263" s="136"/>
      <c r="F263" s="137"/>
      <c r="G263" s="137"/>
      <c r="K263" s="138"/>
      <c r="Q263" s="138"/>
      <c r="Y263" s="138"/>
    </row>
    <row r="264" spans="5:25" s="135" customFormat="1">
      <c r="E264" s="136"/>
      <c r="F264" s="137"/>
      <c r="G264" s="137"/>
      <c r="K264" s="138"/>
      <c r="Q264" s="138"/>
      <c r="Y264" s="138"/>
    </row>
    <row r="265" spans="5:25" s="135" customFormat="1">
      <c r="E265" s="136"/>
      <c r="F265" s="137"/>
      <c r="G265" s="137"/>
      <c r="K265" s="138"/>
      <c r="Q265" s="138"/>
      <c r="Y265" s="138"/>
    </row>
    <row r="266" spans="5:25" s="135" customFormat="1">
      <c r="E266" s="136"/>
      <c r="F266" s="137"/>
      <c r="G266" s="137"/>
      <c r="K266" s="138"/>
      <c r="Q266" s="138"/>
      <c r="Y266" s="138"/>
    </row>
    <row r="267" spans="5:25" s="135" customFormat="1">
      <c r="E267" s="136"/>
      <c r="F267" s="137"/>
      <c r="G267" s="137"/>
      <c r="K267" s="138"/>
      <c r="Q267" s="138"/>
      <c r="Y267" s="138"/>
    </row>
    <row r="268" spans="5:25" s="135" customFormat="1">
      <c r="E268" s="136"/>
      <c r="F268" s="137"/>
      <c r="G268" s="137"/>
      <c r="K268" s="138"/>
      <c r="Q268" s="138"/>
      <c r="Y268" s="138"/>
    </row>
    <row r="269" spans="5:25" s="135" customFormat="1">
      <c r="E269" s="136"/>
      <c r="F269" s="137"/>
      <c r="G269" s="137"/>
      <c r="K269" s="138"/>
      <c r="Q269" s="138"/>
      <c r="Y269" s="138"/>
    </row>
    <row r="270" spans="5:25" s="135" customFormat="1">
      <c r="E270" s="136"/>
      <c r="F270" s="137"/>
      <c r="G270" s="137"/>
      <c r="K270" s="138"/>
      <c r="Q270" s="138"/>
      <c r="Y270" s="138"/>
    </row>
    <row r="271" spans="5:25" s="135" customFormat="1">
      <c r="E271" s="136"/>
      <c r="F271" s="137"/>
      <c r="G271" s="137"/>
      <c r="K271" s="138"/>
      <c r="Q271" s="138"/>
      <c r="Y271" s="138"/>
    </row>
    <row r="272" spans="5:25" s="135" customFormat="1">
      <c r="E272" s="136"/>
      <c r="F272" s="137"/>
      <c r="G272" s="137"/>
      <c r="K272" s="138"/>
      <c r="Q272" s="138"/>
      <c r="Y272" s="138"/>
    </row>
    <row r="273" spans="5:25" s="135" customFormat="1">
      <c r="E273" s="136"/>
      <c r="F273" s="137"/>
      <c r="G273" s="137"/>
      <c r="K273" s="138"/>
      <c r="Q273" s="138"/>
      <c r="Y273" s="138"/>
    </row>
    <row r="274" spans="5:25" s="135" customFormat="1">
      <c r="E274" s="136"/>
      <c r="F274" s="137"/>
      <c r="G274" s="137"/>
      <c r="K274" s="138"/>
      <c r="Q274" s="138"/>
      <c r="Y274" s="138"/>
    </row>
    <row r="275" spans="5:25" s="135" customFormat="1">
      <c r="E275" s="136"/>
      <c r="F275" s="137"/>
      <c r="G275" s="137"/>
      <c r="K275" s="138"/>
      <c r="Q275" s="138"/>
      <c r="Y275" s="138"/>
    </row>
    <row r="276" spans="5:25" s="135" customFormat="1">
      <c r="E276" s="136"/>
      <c r="F276" s="137"/>
      <c r="G276" s="137"/>
      <c r="K276" s="138"/>
      <c r="Q276" s="138"/>
      <c r="Y276" s="138"/>
    </row>
    <row r="277" spans="5:25" s="135" customFormat="1">
      <c r="E277" s="136"/>
      <c r="F277" s="137"/>
      <c r="G277" s="137"/>
      <c r="K277" s="138"/>
      <c r="Q277" s="138"/>
      <c r="Y277" s="138"/>
    </row>
    <row r="278" spans="5:25" s="135" customFormat="1">
      <c r="E278" s="136"/>
      <c r="F278" s="137"/>
      <c r="G278" s="137"/>
      <c r="K278" s="138"/>
      <c r="Q278" s="138"/>
      <c r="Y278" s="138"/>
    </row>
    <row r="279" spans="5:25" s="135" customFormat="1">
      <c r="E279" s="136"/>
      <c r="F279" s="137"/>
      <c r="G279" s="137"/>
      <c r="K279" s="138"/>
      <c r="Q279" s="138"/>
      <c r="Y279" s="138"/>
    </row>
    <row r="280" spans="5:25" s="135" customFormat="1">
      <c r="E280" s="136"/>
      <c r="F280" s="137"/>
      <c r="G280" s="137"/>
      <c r="K280" s="138"/>
      <c r="Q280" s="138"/>
      <c r="Y280" s="138"/>
    </row>
    <row r="281" spans="5:25" s="135" customFormat="1">
      <c r="E281" s="136"/>
      <c r="F281" s="137"/>
      <c r="G281" s="137"/>
      <c r="K281" s="138"/>
      <c r="Q281" s="138"/>
      <c r="Y281" s="138"/>
    </row>
    <row r="282" spans="5:25" s="135" customFormat="1">
      <c r="E282" s="136"/>
      <c r="F282" s="137"/>
      <c r="G282" s="137"/>
      <c r="K282" s="138"/>
      <c r="Q282" s="138"/>
      <c r="Y282" s="138"/>
    </row>
    <row r="283" spans="5:25" s="135" customFormat="1">
      <c r="E283" s="136"/>
      <c r="F283" s="137"/>
      <c r="G283" s="137"/>
      <c r="K283" s="138"/>
      <c r="Q283" s="138"/>
      <c r="Y283" s="138"/>
    </row>
    <row r="284" spans="5:25" s="135" customFormat="1">
      <c r="E284" s="136"/>
      <c r="F284" s="137"/>
      <c r="G284" s="137"/>
      <c r="K284" s="138"/>
      <c r="Q284" s="138"/>
      <c r="Y284" s="138"/>
    </row>
    <row r="285" spans="5:25" s="135" customFormat="1">
      <c r="E285" s="136"/>
      <c r="F285" s="137"/>
      <c r="G285" s="137"/>
      <c r="K285" s="138"/>
      <c r="Q285" s="138"/>
      <c r="Y285" s="138"/>
    </row>
    <row r="286" spans="5:25" s="135" customFormat="1">
      <c r="E286" s="136"/>
      <c r="F286" s="137"/>
      <c r="G286" s="137"/>
      <c r="K286" s="138"/>
      <c r="Q286" s="138"/>
      <c r="Y286" s="138"/>
    </row>
    <row r="287" spans="5:25" s="135" customFormat="1">
      <c r="E287" s="136"/>
      <c r="F287" s="137"/>
      <c r="G287" s="137"/>
      <c r="K287" s="138"/>
      <c r="Q287" s="138"/>
      <c r="Y287" s="138"/>
    </row>
    <row r="288" spans="5:25" s="135" customFormat="1">
      <c r="E288" s="136"/>
      <c r="F288" s="137"/>
      <c r="G288" s="137"/>
      <c r="K288" s="138"/>
      <c r="Q288" s="138"/>
      <c r="Y288" s="138"/>
    </row>
    <row r="289" spans="5:25" s="135" customFormat="1">
      <c r="E289" s="136"/>
      <c r="F289" s="137"/>
      <c r="G289" s="137"/>
      <c r="K289" s="138"/>
      <c r="Q289" s="138"/>
      <c r="Y289" s="138"/>
    </row>
    <row r="290" spans="5:25" s="135" customFormat="1">
      <c r="E290" s="136"/>
      <c r="F290" s="137"/>
      <c r="G290" s="137"/>
      <c r="K290" s="138"/>
      <c r="Q290" s="138"/>
      <c r="Y290" s="138"/>
    </row>
    <row r="291" spans="5:25" s="135" customFormat="1">
      <c r="E291" s="136"/>
      <c r="F291" s="137"/>
      <c r="G291" s="137"/>
      <c r="K291" s="138"/>
      <c r="Q291" s="138"/>
      <c r="Y291" s="138"/>
    </row>
    <row r="292" spans="5:25" s="135" customFormat="1">
      <c r="E292" s="136"/>
      <c r="F292" s="137"/>
      <c r="G292" s="137"/>
      <c r="K292" s="138"/>
      <c r="Q292" s="138"/>
      <c r="Y292" s="138"/>
    </row>
    <row r="293" spans="5:25" s="135" customFormat="1">
      <c r="E293" s="136"/>
      <c r="F293" s="137"/>
      <c r="G293" s="137"/>
      <c r="K293" s="138"/>
      <c r="Q293" s="138"/>
      <c r="Y293" s="138"/>
    </row>
    <row r="294" spans="5:25" s="135" customFormat="1">
      <c r="E294" s="136"/>
      <c r="F294" s="137"/>
      <c r="G294" s="137"/>
      <c r="K294" s="138"/>
      <c r="Q294" s="138"/>
      <c r="Y294" s="138"/>
    </row>
    <row r="295" spans="5:25" s="135" customFormat="1">
      <c r="E295" s="136"/>
      <c r="F295" s="137"/>
      <c r="G295" s="137"/>
      <c r="K295" s="138"/>
      <c r="Q295" s="138"/>
      <c r="Y295" s="138"/>
    </row>
    <row r="296" spans="5:25" s="135" customFormat="1">
      <c r="E296" s="136"/>
      <c r="F296" s="137"/>
      <c r="G296" s="137"/>
      <c r="K296" s="138"/>
      <c r="Q296" s="138"/>
      <c r="Y296" s="138"/>
    </row>
    <row r="297" spans="5:25" s="135" customFormat="1">
      <c r="E297" s="136"/>
      <c r="F297" s="137"/>
      <c r="G297" s="137"/>
      <c r="K297" s="138"/>
      <c r="Q297" s="138"/>
      <c r="Y297" s="138"/>
    </row>
    <row r="298" spans="5:25" s="135" customFormat="1">
      <c r="E298" s="136"/>
      <c r="F298" s="137"/>
      <c r="G298" s="137"/>
      <c r="K298" s="138"/>
      <c r="Q298" s="138"/>
      <c r="Y298" s="138"/>
    </row>
    <row r="299" spans="5:25" s="135" customFormat="1">
      <c r="E299" s="136"/>
      <c r="F299" s="137"/>
      <c r="G299" s="137"/>
      <c r="K299" s="138"/>
      <c r="Q299" s="138"/>
      <c r="Y299" s="138"/>
    </row>
    <row r="300" spans="5:25" s="135" customFormat="1">
      <c r="E300" s="136"/>
      <c r="F300" s="137"/>
      <c r="G300" s="137"/>
      <c r="K300" s="138"/>
      <c r="Q300" s="138"/>
      <c r="Y300" s="138"/>
    </row>
    <row r="301" spans="5:25" s="135" customFormat="1">
      <c r="E301" s="136"/>
      <c r="F301" s="137"/>
      <c r="G301" s="137"/>
      <c r="K301" s="138"/>
      <c r="Q301" s="138"/>
      <c r="Y301" s="138"/>
    </row>
    <row r="302" spans="5:25" s="135" customFormat="1">
      <c r="E302" s="136"/>
      <c r="F302" s="137"/>
      <c r="G302" s="137"/>
      <c r="K302" s="138"/>
      <c r="Q302" s="138"/>
      <c r="Y302" s="138"/>
    </row>
    <row r="303" spans="5:25" s="135" customFormat="1">
      <c r="E303" s="136"/>
      <c r="F303" s="137"/>
      <c r="G303" s="137"/>
      <c r="K303" s="138"/>
      <c r="Q303" s="138"/>
      <c r="Y303" s="138"/>
    </row>
    <row r="304" spans="5:25" s="135" customFormat="1">
      <c r="E304" s="136"/>
      <c r="F304" s="137"/>
      <c r="G304" s="137"/>
      <c r="K304" s="138"/>
      <c r="Q304" s="138"/>
      <c r="Y304" s="138"/>
    </row>
    <row r="305" spans="1:25" s="135" customFormat="1">
      <c r="E305" s="136"/>
      <c r="F305" s="137"/>
      <c r="G305" s="137"/>
      <c r="K305" s="138"/>
      <c r="Q305" s="138"/>
      <c r="Y305" s="138"/>
    </row>
    <row r="306" spans="1:25" s="135" customFormat="1">
      <c r="E306" s="136"/>
      <c r="F306" s="137"/>
      <c r="G306" s="137"/>
      <c r="K306" s="138"/>
      <c r="Q306" s="138"/>
      <c r="Y306" s="138"/>
    </row>
    <row r="307" spans="1:25" s="135" customFormat="1">
      <c r="E307" s="136"/>
      <c r="F307" s="137"/>
      <c r="G307" s="137"/>
      <c r="K307" s="138"/>
      <c r="Q307" s="138"/>
      <c r="Y307" s="138"/>
    </row>
    <row r="308" spans="1:25" s="135" customFormat="1">
      <c r="E308" s="136"/>
      <c r="F308" s="137"/>
      <c r="G308" s="137"/>
      <c r="K308" s="138"/>
      <c r="Q308" s="138"/>
      <c r="Y308" s="138"/>
    </row>
    <row r="309" spans="1:25" s="135" customFormat="1">
      <c r="E309" s="136"/>
      <c r="F309" s="137"/>
      <c r="G309" s="137"/>
      <c r="K309" s="138"/>
      <c r="Q309" s="138"/>
      <c r="Y309" s="138"/>
    </row>
    <row r="310" spans="1:25" s="135" customFormat="1">
      <c r="E310" s="136"/>
      <c r="F310" s="137"/>
      <c r="G310" s="137"/>
      <c r="K310" s="138"/>
      <c r="Q310" s="138"/>
      <c r="Y310" s="138"/>
    </row>
    <row r="311" spans="1:25" s="135" customFormat="1">
      <c r="E311" s="136"/>
      <c r="F311" s="137"/>
      <c r="G311" s="137"/>
      <c r="K311" s="138"/>
      <c r="Q311" s="138"/>
      <c r="Y311" s="138"/>
    </row>
    <row r="312" spans="1:25" s="135" customFormat="1">
      <c r="E312" s="136"/>
      <c r="F312" s="137"/>
      <c r="G312" s="137"/>
      <c r="K312" s="138"/>
      <c r="Q312" s="138"/>
      <c r="Y312" s="138"/>
    </row>
    <row r="313" spans="1:25" s="135" customFormat="1">
      <c r="E313" s="136"/>
      <c r="F313" s="137"/>
      <c r="G313" s="137"/>
      <c r="K313" s="138"/>
      <c r="Q313" s="138"/>
      <c r="Y313" s="138"/>
    </row>
    <row r="314" spans="1:25" s="135" customFormat="1">
      <c r="E314" s="136"/>
      <c r="F314" s="137"/>
      <c r="G314" s="137"/>
      <c r="K314" s="138"/>
      <c r="Q314" s="138"/>
      <c r="Y314" s="138"/>
    </row>
    <row r="315" spans="1:25" s="135" customFormat="1">
      <c r="E315" s="136"/>
      <c r="F315" s="137"/>
      <c r="G315" s="137"/>
      <c r="K315" s="138"/>
      <c r="Q315" s="138"/>
      <c r="Y315" s="138"/>
    </row>
    <row r="316" spans="1:25">
      <c r="A316" s="135"/>
      <c r="B316" s="135"/>
      <c r="C316" s="135"/>
      <c r="D316" s="135"/>
      <c r="E316" s="136"/>
      <c r="F316" s="137"/>
      <c r="G316" s="137"/>
      <c r="H316" s="135"/>
      <c r="I316" s="135"/>
      <c r="J316" s="135"/>
      <c r="K316" s="138"/>
      <c r="L316" s="135"/>
      <c r="M316" s="135"/>
      <c r="N316" s="135"/>
      <c r="O316" s="135"/>
      <c r="P316" s="135"/>
      <c r="Q316" s="138"/>
      <c r="R316" s="135"/>
      <c r="S316" s="135"/>
      <c r="T316" s="135"/>
      <c r="U316" s="135"/>
      <c r="V316" s="135"/>
      <c r="W316" s="135"/>
      <c r="X316" s="135"/>
      <c r="Y316" s="138"/>
    </row>
  </sheetData>
  <mergeCells count="1">
    <mergeCell ref="A22:D22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3CC8-B951-478F-9C27-DBE16DECFA5A}">
  <sheetPr>
    <tabColor theme="9" tint="0.39997558519241921"/>
  </sheetPr>
  <dimension ref="A1:BA84"/>
  <sheetViews>
    <sheetView zoomScale="67" zoomScaleNormal="90" workbookViewId="0">
      <selection activeCell="D1" sqref="D1"/>
    </sheetView>
  </sheetViews>
  <sheetFormatPr baseColWidth="10" defaultColWidth="18.3984375" defaultRowHeight="14.25"/>
  <cols>
    <col min="1" max="4" width="18.3984375" style="91" customWidth="1"/>
    <col min="5" max="5" width="18.3984375" style="92" customWidth="1"/>
    <col min="6" max="7" width="18.3984375" style="78" customWidth="1"/>
    <col min="8" max="24" width="18.3984375" style="91"/>
    <col min="25" max="25" width="18.3984375" style="130"/>
    <col min="26" max="52" width="18.3984375" style="123"/>
    <col min="53" max="53" width="18.3984375" style="102"/>
    <col min="54" max="16384" width="18.3984375" style="91"/>
  </cols>
  <sheetData>
    <row r="1" spans="1:53" s="90" customFormat="1" ht="36.6" customHeight="1">
      <c r="A1" s="88" t="s">
        <v>176</v>
      </c>
      <c r="B1" s="88" t="s">
        <v>179</v>
      </c>
      <c r="C1" s="88" t="s">
        <v>187</v>
      </c>
      <c r="D1" s="88" t="s">
        <v>74</v>
      </c>
      <c r="E1" s="88" t="s">
        <v>188</v>
      </c>
      <c r="F1" s="88" t="s">
        <v>189</v>
      </c>
      <c r="G1" s="88" t="s">
        <v>52</v>
      </c>
      <c r="H1" s="89" t="s">
        <v>212</v>
      </c>
      <c r="I1" s="89" t="s">
        <v>213</v>
      </c>
      <c r="J1" s="89" t="s">
        <v>214</v>
      </c>
      <c r="K1" s="89" t="s">
        <v>215</v>
      </c>
      <c r="L1" s="89" t="s">
        <v>216</v>
      </c>
      <c r="M1" s="89" t="s">
        <v>217</v>
      </c>
      <c r="N1" s="89" t="s">
        <v>218</v>
      </c>
      <c r="O1" s="89" t="s">
        <v>219</v>
      </c>
      <c r="P1" s="89" t="s">
        <v>220</v>
      </c>
      <c r="Q1" s="89" t="s">
        <v>221</v>
      </c>
      <c r="R1" s="89" t="s">
        <v>222</v>
      </c>
      <c r="S1" s="89" t="s">
        <v>223</v>
      </c>
      <c r="T1" s="89" t="s">
        <v>224</v>
      </c>
      <c r="U1" s="89" t="s">
        <v>225</v>
      </c>
      <c r="V1" s="89" t="s">
        <v>226</v>
      </c>
      <c r="W1" s="89" t="s">
        <v>227</v>
      </c>
      <c r="X1" s="89" t="s">
        <v>228</v>
      </c>
      <c r="Y1" s="126" t="s">
        <v>229</v>
      </c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1"/>
    </row>
    <row r="2" spans="1:53">
      <c r="A2" s="75" t="s">
        <v>230</v>
      </c>
      <c r="B2" s="75" t="s">
        <v>231</v>
      </c>
      <c r="C2" s="75" t="s">
        <v>230</v>
      </c>
      <c r="D2" s="75" t="s">
        <v>27</v>
      </c>
      <c r="E2" s="76">
        <v>79316865070</v>
      </c>
      <c r="F2" s="77">
        <v>4</v>
      </c>
      <c r="G2" s="94">
        <v>2036</v>
      </c>
      <c r="H2" s="94">
        <v>0</v>
      </c>
      <c r="I2" s="94">
        <v>0</v>
      </c>
      <c r="J2" s="94">
        <v>0</v>
      </c>
      <c r="K2" s="94">
        <v>0</v>
      </c>
      <c r="L2" s="94">
        <v>0</v>
      </c>
      <c r="M2" s="94">
        <v>0</v>
      </c>
      <c r="N2" s="94">
        <v>0</v>
      </c>
      <c r="O2" s="94">
        <v>0</v>
      </c>
      <c r="P2" s="94">
        <v>0</v>
      </c>
      <c r="Q2" s="94">
        <v>0</v>
      </c>
      <c r="R2" s="94">
        <v>0</v>
      </c>
      <c r="S2" s="94">
        <v>0</v>
      </c>
      <c r="T2" s="94">
        <v>0</v>
      </c>
      <c r="U2" s="94">
        <v>0</v>
      </c>
      <c r="V2" s="94">
        <v>0</v>
      </c>
      <c r="W2" s="94">
        <v>0</v>
      </c>
      <c r="X2" s="94">
        <v>0</v>
      </c>
      <c r="Y2" s="127">
        <v>0</v>
      </c>
    </row>
    <row r="3" spans="1:53">
      <c r="A3" s="75" t="s">
        <v>232</v>
      </c>
      <c r="B3" s="75" t="s">
        <v>231</v>
      </c>
      <c r="C3" s="75" t="s">
        <v>232</v>
      </c>
      <c r="D3" s="75" t="s">
        <v>18</v>
      </c>
      <c r="E3" s="76">
        <v>83008042889</v>
      </c>
      <c r="F3" s="77">
        <v>3</v>
      </c>
      <c r="G3" s="94">
        <v>2295</v>
      </c>
      <c r="H3" s="94">
        <v>0</v>
      </c>
      <c r="I3" s="94">
        <v>0</v>
      </c>
      <c r="J3" s="94">
        <v>0</v>
      </c>
      <c r="K3" s="94">
        <v>0</v>
      </c>
      <c r="L3" s="94">
        <v>0</v>
      </c>
      <c r="M3" s="94">
        <v>0</v>
      </c>
      <c r="N3" s="94">
        <v>0</v>
      </c>
      <c r="O3" s="94">
        <v>0</v>
      </c>
      <c r="P3" s="94">
        <v>0</v>
      </c>
      <c r="Q3" s="94">
        <v>0</v>
      </c>
      <c r="R3" s="94">
        <v>0</v>
      </c>
      <c r="S3" s="94">
        <v>0</v>
      </c>
      <c r="T3" s="94">
        <v>0</v>
      </c>
      <c r="U3" s="94">
        <v>0</v>
      </c>
      <c r="V3" s="94">
        <v>0</v>
      </c>
      <c r="W3" s="94">
        <v>0</v>
      </c>
      <c r="X3" s="94">
        <v>0</v>
      </c>
      <c r="Y3" s="127">
        <v>0</v>
      </c>
    </row>
    <row r="4" spans="1:53">
      <c r="A4" s="75" t="s">
        <v>233</v>
      </c>
      <c r="B4" s="75" t="s">
        <v>116</v>
      </c>
      <c r="C4" s="75" t="s">
        <v>195</v>
      </c>
      <c r="D4" s="75" t="s">
        <v>27</v>
      </c>
      <c r="E4" s="76">
        <v>322709746890</v>
      </c>
      <c r="F4" s="77">
        <v>11.73</v>
      </c>
      <c r="G4" s="94">
        <v>10664</v>
      </c>
      <c r="H4" s="94">
        <v>0</v>
      </c>
      <c r="I4" s="94">
        <v>0</v>
      </c>
      <c r="J4" s="94">
        <v>0</v>
      </c>
      <c r="K4" s="94">
        <v>0</v>
      </c>
      <c r="L4" s="94">
        <v>0</v>
      </c>
      <c r="M4" s="94">
        <v>0</v>
      </c>
      <c r="N4" s="94">
        <v>0</v>
      </c>
      <c r="O4" s="94">
        <v>0</v>
      </c>
      <c r="P4" s="94">
        <v>0</v>
      </c>
      <c r="Q4" s="94">
        <v>0</v>
      </c>
      <c r="R4" s="94">
        <v>0</v>
      </c>
      <c r="S4" s="94">
        <v>0</v>
      </c>
      <c r="T4" s="94">
        <v>0</v>
      </c>
      <c r="U4" s="94">
        <v>0</v>
      </c>
      <c r="V4" s="94">
        <v>0</v>
      </c>
      <c r="W4" s="94">
        <v>0</v>
      </c>
      <c r="X4" s="94">
        <v>0</v>
      </c>
      <c r="Y4" s="127">
        <v>0</v>
      </c>
    </row>
    <row r="5" spans="1:53" ht="39.4">
      <c r="A5" s="75" t="s">
        <v>234</v>
      </c>
      <c r="B5" s="75" t="s">
        <v>115</v>
      </c>
      <c r="C5" s="75" t="s">
        <v>197</v>
      </c>
      <c r="D5" s="75" t="s">
        <v>22</v>
      </c>
      <c r="E5" s="76">
        <v>121589085878</v>
      </c>
      <c r="F5" s="77">
        <v>4.16</v>
      </c>
      <c r="G5" s="94">
        <v>3783</v>
      </c>
      <c r="H5" s="94">
        <v>0</v>
      </c>
      <c r="I5" s="94">
        <v>0</v>
      </c>
      <c r="J5" s="94">
        <v>0</v>
      </c>
      <c r="K5" s="94">
        <v>0</v>
      </c>
      <c r="L5" s="94">
        <v>0</v>
      </c>
      <c r="M5" s="94">
        <v>0</v>
      </c>
      <c r="N5" s="94">
        <v>0</v>
      </c>
      <c r="O5" s="94">
        <v>0</v>
      </c>
      <c r="P5" s="94">
        <v>0</v>
      </c>
      <c r="Q5" s="94">
        <v>0</v>
      </c>
      <c r="R5" s="94">
        <v>0</v>
      </c>
      <c r="S5" s="94">
        <v>0</v>
      </c>
      <c r="T5" s="94">
        <v>0</v>
      </c>
      <c r="U5" s="94">
        <v>0</v>
      </c>
      <c r="V5" s="94">
        <v>0</v>
      </c>
      <c r="W5" s="94">
        <v>0</v>
      </c>
      <c r="X5" s="94">
        <v>0</v>
      </c>
      <c r="Y5" s="127">
        <v>0</v>
      </c>
    </row>
    <row r="6" spans="1:53">
      <c r="A6" s="75" t="s">
        <v>114</v>
      </c>
      <c r="B6" s="75" t="s">
        <v>113</v>
      </c>
      <c r="C6" s="75" t="s">
        <v>114</v>
      </c>
      <c r="D6" s="75" t="s">
        <v>22</v>
      </c>
      <c r="E6" s="76">
        <v>27742028640</v>
      </c>
      <c r="F6" s="77">
        <v>0.95</v>
      </c>
      <c r="G6" s="94">
        <v>862</v>
      </c>
      <c r="H6" s="94">
        <v>0</v>
      </c>
      <c r="I6" s="94">
        <v>0</v>
      </c>
      <c r="J6" s="94">
        <v>0</v>
      </c>
      <c r="K6" s="94">
        <v>0</v>
      </c>
      <c r="L6" s="94">
        <v>0</v>
      </c>
      <c r="M6" s="94">
        <v>0</v>
      </c>
      <c r="N6" s="94">
        <v>0</v>
      </c>
      <c r="O6" s="94">
        <v>0</v>
      </c>
      <c r="P6" s="94">
        <v>0</v>
      </c>
      <c r="Q6" s="94">
        <v>0</v>
      </c>
      <c r="R6" s="94">
        <v>0</v>
      </c>
      <c r="S6" s="94">
        <v>0</v>
      </c>
      <c r="T6" s="94">
        <v>0</v>
      </c>
      <c r="U6" s="94">
        <v>0</v>
      </c>
      <c r="V6" s="94">
        <v>0</v>
      </c>
      <c r="W6" s="94">
        <v>0</v>
      </c>
      <c r="X6" s="94">
        <v>0</v>
      </c>
      <c r="Y6" s="127">
        <v>0</v>
      </c>
    </row>
    <row r="7" spans="1:53">
      <c r="A7" s="75" t="s">
        <v>110</v>
      </c>
      <c r="B7" s="75" t="s">
        <v>109</v>
      </c>
      <c r="C7" s="75" t="s">
        <v>200</v>
      </c>
      <c r="D7" s="75" t="s">
        <v>22</v>
      </c>
      <c r="E7" s="76">
        <v>51087244522</v>
      </c>
      <c r="F7" s="77">
        <v>1.74</v>
      </c>
      <c r="G7" s="94">
        <v>1581</v>
      </c>
      <c r="H7" s="94">
        <v>0</v>
      </c>
      <c r="I7" s="94">
        <v>0</v>
      </c>
      <c r="J7" s="94">
        <v>0</v>
      </c>
      <c r="K7" s="94">
        <v>0</v>
      </c>
      <c r="L7" s="94">
        <v>0</v>
      </c>
      <c r="M7" s="94">
        <v>0</v>
      </c>
      <c r="N7" s="94">
        <v>0</v>
      </c>
      <c r="O7" s="94">
        <v>0</v>
      </c>
      <c r="P7" s="94">
        <v>0</v>
      </c>
      <c r="Q7" s="94">
        <v>0</v>
      </c>
      <c r="R7" s="94">
        <v>0</v>
      </c>
      <c r="S7" s="94">
        <v>0</v>
      </c>
      <c r="T7" s="94">
        <v>0</v>
      </c>
      <c r="U7" s="94">
        <v>0</v>
      </c>
      <c r="V7" s="94">
        <v>0</v>
      </c>
      <c r="W7" s="94">
        <v>0</v>
      </c>
      <c r="X7" s="94">
        <v>0</v>
      </c>
      <c r="Y7" s="127">
        <v>0</v>
      </c>
    </row>
    <row r="8" spans="1:53" ht="65.650000000000006">
      <c r="A8" s="75" t="s">
        <v>235</v>
      </c>
      <c r="B8" s="75" t="s">
        <v>111</v>
      </c>
      <c r="C8" s="75" t="s">
        <v>201</v>
      </c>
      <c r="D8" s="75" t="s">
        <v>22</v>
      </c>
      <c r="E8" s="76">
        <v>37573918087</v>
      </c>
      <c r="F8" s="77">
        <v>1.27</v>
      </c>
      <c r="G8" s="94">
        <v>1158</v>
      </c>
      <c r="H8" s="94">
        <v>0</v>
      </c>
      <c r="I8" s="94">
        <v>0</v>
      </c>
      <c r="J8" s="94">
        <v>0</v>
      </c>
      <c r="K8" s="94">
        <v>0</v>
      </c>
      <c r="L8" s="94">
        <v>0</v>
      </c>
      <c r="M8" s="94">
        <v>0</v>
      </c>
      <c r="N8" s="94">
        <v>0</v>
      </c>
      <c r="O8" s="94">
        <v>0</v>
      </c>
      <c r="P8" s="94">
        <v>0</v>
      </c>
      <c r="Q8" s="94">
        <v>0</v>
      </c>
      <c r="R8" s="94">
        <v>0</v>
      </c>
      <c r="S8" s="94">
        <v>0</v>
      </c>
      <c r="T8" s="94">
        <v>0</v>
      </c>
      <c r="U8" s="94">
        <v>0</v>
      </c>
      <c r="V8" s="94">
        <v>0</v>
      </c>
      <c r="W8" s="94">
        <v>0</v>
      </c>
      <c r="X8" s="94">
        <v>0</v>
      </c>
      <c r="Y8" s="127">
        <v>0</v>
      </c>
    </row>
    <row r="9" spans="1:53">
      <c r="A9" s="75" t="s">
        <v>236</v>
      </c>
      <c r="B9" s="75" t="s">
        <v>111</v>
      </c>
      <c r="C9" s="75" t="s">
        <v>202</v>
      </c>
      <c r="D9" s="75" t="s">
        <v>22</v>
      </c>
      <c r="E9" s="76">
        <v>4402514558</v>
      </c>
      <c r="F9" s="77">
        <v>0.19</v>
      </c>
      <c r="G9" s="94">
        <v>154</v>
      </c>
      <c r="H9" s="94">
        <v>0</v>
      </c>
      <c r="I9" s="94">
        <v>0</v>
      </c>
      <c r="J9" s="94">
        <v>0</v>
      </c>
      <c r="K9" s="94">
        <v>0</v>
      </c>
      <c r="L9" s="94">
        <v>0</v>
      </c>
      <c r="M9" s="94">
        <v>0</v>
      </c>
      <c r="N9" s="94">
        <v>0</v>
      </c>
      <c r="O9" s="94">
        <v>0</v>
      </c>
      <c r="P9" s="94">
        <v>0</v>
      </c>
      <c r="Q9" s="94">
        <v>0</v>
      </c>
      <c r="R9" s="94">
        <v>0</v>
      </c>
      <c r="S9" s="94">
        <v>0</v>
      </c>
      <c r="T9" s="94">
        <v>0</v>
      </c>
      <c r="U9" s="94">
        <v>0</v>
      </c>
      <c r="V9" s="94">
        <v>0</v>
      </c>
      <c r="W9" s="94">
        <v>0</v>
      </c>
      <c r="X9" s="94">
        <v>0</v>
      </c>
      <c r="Y9" s="127">
        <v>0</v>
      </c>
    </row>
    <row r="10" spans="1:53">
      <c r="A10" s="75" t="s">
        <v>203</v>
      </c>
      <c r="B10" s="75" t="s">
        <v>120</v>
      </c>
      <c r="C10" s="75" t="s">
        <v>203</v>
      </c>
      <c r="D10" s="75" t="s">
        <v>18</v>
      </c>
      <c r="E10" s="76">
        <v>31420264769</v>
      </c>
      <c r="F10" s="77">
        <v>1.21</v>
      </c>
      <c r="G10" s="94">
        <v>1003</v>
      </c>
      <c r="H10" s="94">
        <v>0</v>
      </c>
      <c r="I10" s="94">
        <v>0</v>
      </c>
      <c r="J10" s="94">
        <v>0</v>
      </c>
      <c r="K10" s="94">
        <v>0</v>
      </c>
      <c r="L10" s="94">
        <v>0</v>
      </c>
      <c r="M10" s="94">
        <v>0</v>
      </c>
      <c r="N10" s="94">
        <v>0</v>
      </c>
      <c r="O10" s="94">
        <v>0</v>
      </c>
      <c r="P10" s="94">
        <v>0</v>
      </c>
      <c r="Q10" s="94">
        <v>0</v>
      </c>
      <c r="R10" s="94">
        <v>0</v>
      </c>
      <c r="S10" s="94">
        <v>0</v>
      </c>
      <c r="T10" s="94">
        <v>0</v>
      </c>
      <c r="U10" s="94">
        <v>0</v>
      </c>
      <c r="V10" s="94">
        <v>0</v>
      </c>
      <c r="W10" s="94">
        <v>0</v>
      </c>
      <c r="X10" s="94">
        <v>0</v>
      </c>
      <c r="Y10" s="127">
        <v>0</v>
      </c>
    </row>
    <row r="11" spans="1:53">
      <c r="A11" s="75" t="s">
        <v>102</v>
      </c>
      <c r="B11" s="75" t="s">
        <v>101</v>
      </c>
      <c r="C11" s="75" t="s">
        <v>204</v>
      </c>
      <c r="D11" s="75" t="s">
        <v>22</v>
      </c>
      <c r="E11" s="76">
        <v>18447808737</v>
      </c>
      <c r="F11" s="77">
        <v>0.76</v>
      </c>
      <c r="G11" s="94">
        <v>623</v>
      </c>
      <c r="H11" s="94">
        <v>40</v>
      </c>
      <c r="I11" s="94">
        <v>65</v>
      </c>
      <c r="J11" s="94">
        <v>75</v>
      </c>
      <c r="K11" s="94">
        <v>0</v>
      </c>
      <c r="L11" s="94">
        <v>0</v>
      </c>
      <c r="M11" s="94">
        <v>0</v>
      </c>
      <c r="N11" s="94">
        <v>0</v>
      </c>
      <c r="O11" s="94">
        <v>0</v>
      </c>
      <c r="P11" s="94">
        <v>0</v>
      </c>
      <c r="Q11" s="94">
        <v>0</v>
      </c>
      <c r="R11" s="94">
        <v>0</v>
      </c>
      <c r="S11" s="94">
        <v>0</v>
      </c>
      <c r="T11" s="94">
        <v>0</v>
      </c>
      <c r="U11" s="94">
        <v>0</v>
      </c>
      <c r="V11" s="94">
        <v>0</v>
      </c>
      <c r="W11" s="94">
        <v>0</v>
      </c>
      <c r="X11" s="94">
        <v>0</v>
      </c>
      <c r="Y11" s="127">
        <v>0</v>
      </c>
    </row>
    <row r="12" spans="1:53">
      <c r="A12" s="75" t="s">
        <v>205</v>
      </c>
      <c r="B12" s="75" t="s">
        <v>101</v>
      </c>
      <c r="C12" s="75" t="s">
        <v>205</v>
      </c>
      <c r="D12" s="75" t="s">
        <v>22</v>
      </c>
      <c r="E12" s="76">
        <v>18114661005</v>
      </c>
      <c r="F12" s="77">
        <v>0.76</v>
      </c>
      <c r="G12" s="94">
        <v>624</v>
      </c>
      <c r="H12" s="94">
        <v>0</v>
      </c>
      <c r="I12" s="94">
        <v>0</v>
      </c>
      <c r="J12" s="94">
        <v>0</v>
      </c>
      <c r="K12" s="94">
        <v>0</v>
      </c>
      <c r="L12" s="94">
        <v>0</v>
      </c>
      <c r="M12" s="94">
        <v>0</v>
      </c>
      <c r="N12" s="94">
        <v>0</v>
      </c>
      <c r="O12" s="94">
        <v>0</v>
      </c>
      <c r="P12" s="94">
        <v>0</v>
      </c>
      <c r="Q12" s="94">
        <v>0</v>
      </c>
      <c r="R12" s="94">
        <v>0</v>
      </c>
      <c r="S12" s="94">
        <v>0</v>
      </c>
      <c r="T12" s="94">
        <v>0</v>
      </c>
      <c r="U12" s="94">
        <v>0</v>
      </c>
      <c r="V12" s="94">
        <v>0</v>
      </c>
      <c r="W12" s="94">
        <v>0</v>
      </c>
      <c r="X12" s="94">
        <v>0</v>
      </c>
      <c r="Y12" s="127">
        <v>0</v>
      </c>
    </row>
    <row r="13" spans="1:53">
      <c r="A13" s="75" t="s">
        <v>122</v>
      </c>
      <c r="B13" s="75" t="s">
        <v>116</v>
      </c>
      <c r="C13" s="75" t="s">
        <v>122</v>
      </c>
      <c r="D13" s="75" t="s">
        <v>18</v>
      </c>
      <c r="E13" s="76">
        <v>30713269905</v>
      </c>
      <c r="F13" s="77">
        <v>1.2</v>
      </c>
      <c r="G13" s="94">
        <v>1000</v>
      </c>
      <c r="H13" s="94">
        <v>0</v>
      </c>
      <c r="I13" s="94">
        <v>0</v>
      </c>
      <c r="J13" s="94">
        <v>0</v>
      </c>
      <c r="K13" s="94">
        <v>0</v>
      </c>
      <c r="L13" s="94">
        <v>0</v>
      </c>
      <c r="M13" s="94">
        <v>0</v>
      </c>
      <c r="N13" s="94">
        <v>0</v>
      </c>
      <c r="O13" s="94">
        <v>0</v>
      </c>
      <c r="P13" s="94">
        <v>0</v>
      </c>
      <c r="Q13" s="94">
        <v>0</v>
      </c>
      <c r="R13" s="94">
        <v>0</v>
      </c>
      <c r="S13" s="94">
        <v>0</v>
      </c>
      <c r="T13" s="94">
        <v>0</v>
      </c>
      <c r="U13" s="94">
        <v>0</v>
      </c>
      <c r="V13" s="94">
        <v>0</v>
      </c>
      <c r="W13" s="94">
        <v>0</v>
      </c>
      <c r="X13" s="94">
        <v>0</v>
      </c>
      <c r="Y13" s="127">
        <v>0</v>
      </c>
    </row>
    <row r="14" spans="1:53">
      <c r="A14" s="75" t="s">
        <v>206</v>
      </c>
      <c r="B14" s="75" t="s">
        <v>123</v>
      </c>
      <c r="C14" s="75" t="s">
        <v>206</v>
      </c>
      <c r="D14" s="75" t="s">
        <v>18</v>
      </c>
      <c r="E14" s="76">
        <v>6880380834</v>
      </c>
      <c r="F14" s="77">
        <v>0.31</v>
      </c>
      <c r="G14" s="94">
        <v>217</v>
      </c>
      <c r="H14" s="94">
        <v>0</v>
      </c>
      <c r="I14" s="94">
        <v>0</v>
      </c>
      <c r="J14" s="94">
        <v>0</v>
      </c>
      <c r="K14" s="94">
        <v>0</v>
      </c>
      <c r="L14" s="94">
        <v>0</v>
      </c>
      <c r="M14" s="94">
        <v>0</v>
      </c>
      <c r="N14" s="94">
        <v>0</v>
      </c>
      <c r="O14" s="94">
        <v>0</v>
      </c>
      <c r="P14" s="94">
        <v>0</v>
      </c>
      <c r="Q14" s="94">
        <v>0</v>
      </c>
      <c r="R14" s="94">
        <v>0</v>
      </c>
      <c r="S14" s="94">
        <v>0</v>
      </c>
      <c r="T14" s="94">
        <v>0</v>
      </c>
      <c r="U14" s="94">
        <v>0</v>
      </c>
      <c r="V14" s="94">
        <v>0</v>
      </c>
      <c r="W14" s="94">
        <v>0</v>
      </c>
      <c r="X14" s="94">
        <v>0</v>
      </c>
      <c r="Y14" s="127">
        <v>0</v>
      </c>
    </row>
    <row r="15" spans="1:53">
      <c r="A15" s="75" t="s">
        <v>207</v>
      </c>
      <c r="B15" s="75" t="s">
        <v>123</v>
      </c>
      <c r="C15" s="75" t="s">
        <v>207</v>
      </c>
      <c r="D15" s="75" t="s">
        <v>18</v>
      </c>
      <c r="E15" s="76">
        <v>22802905997</v>
      </c>
      <c r="F15" s="77">
        <v>0.72</v>
      </c>
      <c r="G15" s="94">
        <v>719</v>
      </c>
      <c r="H15" s="94">
        <v>0</v>
      </c>
      <c r="I15" s="94">
        <v>0</v>
      </c>
      <c r="J15" s="94">
        <v>0</v>
      </c>
      <c r="K15" s="94">
        <v>0</v>
      </c>
      <c r="L15" s="94">
        <v>0</v>
      </c>
      <c r="M15" s="94">
        <v>0</v>
      </c>
      <c r="N15" s="94">
        <v>0</v>
      </c>
      <c r="O15" s="94">
        <v>0</v>
      </c>
      <c r="P15" s="94">
        <v>0</v>
      </c>
      <c r="Q15" s="94">
        <v>0</v>
      </c>
      <c r="R15" s="94">
        <v>0</v>
      </c>
      <c r="S15" s="94">
        <v>0</v>
      </c>
      <c r="T15" s="94">
        <v>0</v>
      </c>
      <c r="U15" s="94">
        <v>0</v>
      </c>
      <c r="V15" s="94">
        <v>0</v>
      </c>
      <c r="W15" s="94">
        <v>0</v>
      </c>
      <c r="X15" s="94">
        <v>0</v>
      </c>
      <c r="Y15" s="127">
        <v>0</v>
      </c>
    </row>
    <row r="16" spans="1:53">
      <c r="A16" s="75" t="s">
        <v>208</v>
      </c>
      <c r="B16" s="75" t="s">
        <v>123</v>
      </c>
      <c r="C16" s="75" t="s">
        <v>208</v>
      </c>
      <c r="D16" s="75" t="s">
        <v>18</v>
      </c>
      <c r="E16" s="76">
        <v>9349545113</v>
      </c>
      <c r="F16" s="77">
        <v>0.42</v>
      </c>
      <c r="G16" s="94">
        <v>293</v>
      </c>
      <c r="H16" s="94">
        <v>0</v>
      </c>
      <c r="I16" s="94">
        <v>0</v>
      </c>
      <c r="J16" s="94">
        <v>0</v>
      </c>
      <c r="K16" s="94">
        <v>0</v>
      </c>
      <c r="L16" s="94">
        <v>0</v>
      </c>
      <c r="M16" s="94">
        <v>0</v>
      </c>
      <c r="N16" s="94">
        <v>0</v>
      </c>
      <c r="O16" s="94">
        <v>0</v>
      </c>
      <c r="P16" s="94">
        <v>0</v>
      </c>
      <c r="Q16" s="94">
        <v>0</v>
      </c>
      <c r="R16" s="94">
        <v>0</v>
      </c>
      <c r="S16" s="94">
        <v>0</v>
      </c>
      <c r="T16" s="94">
        <v>0</v>
      </c>
      <c r="U16" s="94">
        <v>0</v>
      </c>
      <c r="V16" s="94">
        <v>0</v>
      </c>
      <c r="W16" s="94">
        <v>0</v>
      </c>
      <c r="X16" s="94">
        <v>0</v>
      </c>
      <c r="Y16" s="127">
        <v>0</v>
      </c>
    </row>
    <row r="17" spans="1:53">
      <c r="A17" s="75" t="s">
        <v>209</v>
      </c>
      <c r="B17" s="75" t="s">
        <v>123</v>
      </c>
      <c r="C17" s="75" t="s">
        <v>209</v>
      </c>
      <c r="D17" s="75" t="s">
        <v>18</v>
      </c>
      <c r="E17" s="76">
        <v>24764667070</v>
      </c>
      <c r="F17" s="77">
        <v>1.1000000000000001</v>
      </c>
      <c r="G17" s="94">
        <v>777</v>
      </c>
      <c r="H17" s="94">
        <v>0</v>
      </c>
      <c r="I17" s="94">
        <v>0</v>
      </c>
      <c r="J17" s="94">
        <v>0</v>
      </c>
      <c r="K17" s="94">
        <v>0</v>
      </c>
      <c r="L17" s="94">
        <v>0</v>
      </c>
      <c r="M17" s="94">
        <v>0</v>
      </c>
      <c r="N17" s="94">
        <v>0</v>
      </c>
      <c r="O17" s="94">
        <v>0</v>
      </c>
      <c r="P17" s="94">
        <v>0</v>
      </c>
      <c r="Q17" s="94">
        <v>0</v>
      </c>
      <c r="R17" s="94">
        <v>0</v>
      </c>
      <c r="S17" s="94">
        <v>0</v>
      </c>
      <c r="T17" s="94">
        <v>0</v>
      </c>
      <c r="U17" s="94">
        <v>0</v>
      </c>
      <c r="V17" s="94">
        <v>0</v>
      </c>
      <c r="W17" s="94">
        <v>0</v>
      </c>
      <c r="X17" s="94">
        <v>0</v>
      </c>
      <c r="Y17" s="127">
        <v>0</v>
      </c>
    </row>
    <row r="18" spans="1:53">
      <c r="A18" s="75" t="s">
        <v>210</v>
      </c>
      <c r="B18" s="75" t="s">
        <v>185</v>
      </c>
      <c r="C18" s="75" t="s">
        <v>210</v>
      </c>
      <c r="D18" s="75" t="s">
        <v>18</v>
      </c>
      <c r="E18" s="76">
        <v>24437339433</v>
      </c>
      <c r="F18" s="77">
        <v>1.52</v>
      </c>
      <c r="G18" s="94">
        <v>755</v>
      </c>
      <c r="H18" s="94">
        <v>0</v>
      </c>
      <c r="I18" s="94">
        <v>0</v>
      </c>
      <c r="J18" s="94">
        <v>0</v>
      </c>
      <c r="K18" s="94">
        <v>0</v>
      </c>
      <c r="L18" s="94">
        <v>0</v>
      </c>
      <c r="M18" s="94">
        <v>0</v>
      </c>
      <c r="N18" s="94">
        <v>0</v>
      </c>
      <c r="O18" s="94">
        <v>0</v>
      </c>
      <c r="P18" s="94">
        <v>0</v>
      </c>
      <c r="Q18" s="94">
        <v>0</v>
      </c>
      <c r="R18" s="94">
        <v>0</v>
      </c>
      <c r="S18" s="94">
        <v>0</v>
      </c>
      <c r="T18" s="94">
        <v>0</v>
      </c>
      <c r="U18" s="94">
        <v>0</v>
      </c>
      <c r="V18" s="94">
        <v>0</v>
      </c>
      <c r="W18" s="94">
        <v>0</v>
      </c>
      <c r="X18" s="94">
        <v>0</v>
      </c>
      <c r="Y18" s="127">
        <v>0</v>
      </c>
    </row>
    <row r="19" spans="1:53" s="79" customFormat="1">
      <c r="A19" s="95" t="s">
        <v>127</v>
      </c>
      <c r="B19" s="96" t="s">
        <v>126</v>
      </c>
      <c r="C19" s="96" t="s">
        <v>126</v>
      </c>
      <c r="D19" s="96" t="s">
        <v>183</v>
      </c>
      <c r="E19" s="158">
        <v>41281267500</v>
      </c>
      <c r="F19" s="117">
        <v>4.3499999999999996</v>
      </c>
      <c r="G19" s="96">
        <v>2500</v>
      </c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135"/>
      <c r="AN19" s="135"/>
      <c r="AO19" s="135"/>
      <c r="AP19" s="135"/>
      <c r="AQ19" s="135"/>
      <c r="AR19" s="135"/>
      <c r="AS19" s="135"/>
      <c r="AT19" s="135"/>
      <c r="AU19" s="135"/>
      <c r="AV19" s="135"/>
      <c r="AW19" s="135"/>
      <c r="AX19" s="135"/>
    </row>
    <row r="20" spans="1:53" ht="14.65" thickBot="1">
      <c r="A20" s="103"/>
      <c r="B20" s="103"/>
      <c r="C20" s="103"/>
      <c r="D20" s="103"/>
      <c r="E20" s="104"/>
      <c r="F20" s="84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28"/>
    </row>
    <row r="21" spans="1:53" s="103" customFormat="1" ht="14.65" thickBot="1">
      <c r="A21" s="222" t="s">
        <v>237</v>
      </c>
      <c r="B21" s="223"/>
      <c r="C21" s="223"/>
      <c r="D21" s="223"/>
      <c r="E21" s="151">
        <f>SUM(E2:E20)</f>
        <v>955641556897</v>
      </c>
      <c r="F21" s="152">
        <f>SUM(F2:F20)</f>
        <v>39.390000000000008</v>
      </c>
      <c r="G21" s="153">
        <f>SUM(G2:G20)</f>
        <v>31044</v>
      </c>
      <c r="H21" s="153">
        <f>SUM(H2:H20)</f>
        <v>40</v>
      </c>
      <c r="I21" s="153">
        <f t="shared" ref="I21:Y21" si="0">SUM(I2:I20)</f>
        <v>65</v>
      </c>
      <c r="J21" s="153">
        <f t="shared" si="0"/>
        <v>75</v>
      </c>
      <c r="K21" s="153">
        <f t="shared" si="0"/>
        <v>0</v>
      </c>
      <c r="L21" s="153">
        <f t="shared" si="0"/>
        <v>0</v>
      </c>
      <c r="M21" s="153">
        <f t="shared" si="0"/>
        <v>0</v>
      </c>
      <c r="N21" s="153">
        <f t="shared" si="0"/>
        <v>0</v>
      </c>
      <c r="O21" s="153">
        <f t="shared" si="0"/>
        <v>0</v>
      </c>
      <c r="P21" s="153">
        <f t="shared" si="0"/>
        <v>0</v>
      </c>
      <c r="Q21" s="153">
        <f t="shared" si="0"/>
        <v>0</v>
      </c>
      <c r="R21" s="153">
        <f t="shared" si="0"/>
        <v>0</v>
      </c>
      <c r="S21" s="153">
        <f t="shared" si="0"/>
        <v>0</v>
      </c>
      <c r="T21" s="153">
        <f t="shared" si="0"/>
        <v>0</v>
      </c>
      <c r="U21" s="153">
        <f t="shared" si="0"/>
        <v>0</v>
      </c>
      <c r="V21" s="153">
        <f t="shared" si="0"/>
        <v>0</v>
      </c>
      <c r="W21" s="153">
        <f t="shared" si="0"/>
        <v>0</v>
      </c>
      <c r="X21" s="153">
        <f t="shared" si="0"/>
        <v>0</v>
      </c>
      <c r="Y21" s="154">
        <f t="shared" si="0"/>
        <v>0</v>
      </c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2"/>
    </row>
    <row r="22" spans="1:53" s="123" customFormat="1">
      <c r="E22" s="124"/>
      <c r="F22" s="125"/>
      <c r="G22" s="125"/>
    </row>
    <row r="23" spans="1:53" s="123" customFormat="1">
      <c r="E23" s="124"/>
      <c r="F23" s="125"/>
      <c r="G23" s="125"/>
    </row>
    <row r="24" spans="1:53" s="123" customFormat="1">
      <c r="E24" s="124"/>
      <c r="F24" s="125"/>
      <c r="G24" s="125"/>
    </row>
    <row r="25" spans="1:53" s="123" customFormat="1">
      <c r="E25" s="124"/>
      <c r="F25" s="125"/>
      <c r="G25" s="125"/>
    </row>
    <row r="26" spans="1:53" s="123" customFormat="1">
      <c r="E26" s="124"/>
      <c r="F26" s="125"/>
      <c r="G26" s="125"/>
    </row>
    <row r="27" spans="1:53" s="123" customFormat="1">
      <c r="E27" s="124"/>
      <c r="F27" s="125"/>
      <c r="G27" s="125"/>
    </row>
    <row r="28" spans="1:53" s="123" customFormat="1">
      <c r="E28" s="124"/>
      <c r="F28" s="125"/>
      <c r="G28" s="125"/>
    </row>
    <row r="29" spans="1:53" s="123" customFormat="1">
      <c r="E29" s="124"/>
      <c r="F29" s="125"/>
      <c r="G29" s="125"/>
    </row>
    <row r="30" spans="1:53" s="123" customFormat="1">
      <c r="E30" s="124"/>
      <c r="F30" s="125"/>
      <c r="G30" s="125"/>
    </row>
    <row r="31" spans="1:53" s="123" customFormat="1">
      <c r="E31" s="124"/>
      <c r="F31" s="125"/>
      <c r="G31" s="125"/>
    </row>
    <row r="32" spans="1:53" s="123" customFormat="1">
      <c r="E32" s="124"/>
      <c r="F32" s="125"/>
      <c r="G32" s="125"/>
    </row>
    <row r="33" spans="5:7" s="123" customFormat="1">
      <c r="E33" s="124"/>
      <c r="F33" s="125"/>
      <c r="G33" s="125"/>
    </row>
    <row r="34" spans="5:7" s="123" customFormat="1">
      <c r="E34" s="124"/>
      <c r="F34" s="125"/>
      <c r="G34" s="125"/>
    </row>
    <row r="35" spans="5:7" s="123" customFormat="1">
      <c r="E35" s="124"/>
      <c r="F35" s="125"/>
      <c r="G35" s="125"/>
    </row>
    <row r="36" spans="5:7" s="123" customFormat="1">
      <c r="E36" s="124"/>
      <c r="F36" s="125"/>
      <c r="G36" s="125"/>
    </row>
    <row r="37" spans="5:7" s="123" customFormat="1">
      <c r="E37" s="124"/>
      <c r="F37" s="125"/>
      <c r="G37" s="125"/>
    </row>
    <row r="38" spans="5:7" s="123" customFormat="1">
      <c r="E38" s="124"/>
      <c r="F38" s="125"/>
      <c r="G38" s="125"/>
    </row>
    <row r="39" spans="5:7" s="123" customFormat="1">
      <c r="E39" s="124"/>
      <c r="F39" s="125"/>
      <c r="G39" s="125"/>
    </row>
    <row r="40" spans="5:7" s="123" customFormat="1">
      <c r="E40" s="124"/>
      <c r="F40" s="125"/>
      <c r="G40" s="125"/>
    </row>
    <row r="41" spans="5:7" s="123" customFormat="1">
      <c r="E41" s="124"/>
      <c r="F41" s="125"/>
      <c r="G41" s="125"/>
    </row>
    <row r="42" spans="5:7" s="123" customFormat="1">
      <c r="E42" s="124"/>
      <c r="F42" s="125"/>
      <c r="G42" s="125"/>
    </row>
    <row r="43" spans="5:7" s="123" customFormat="1">
      <c r="E43" s="124"/>
      <c r="F43" s="125"/>
      <c r="G43" s="125"/>
    </row>
    <row r="44" spans="5:7" s="123" customFormat="1">
      <c r="E44" s="124"/>
      <c r="F44" s="125"/>
      <c r="G44" s="125"/>
    </row>
    <row r="45" spans="5:7" s="123" customFormat="1">
      <c r="E45" s="124"/>
      <c r="F45" s="125"/>
      <c r="G45" s="125"/>
    </row>
    <row r="46" spans="5:7" s="123" customFormat="1">
      <c r="E46" s="124"/>
      <c r="F46" s="125"/>
      <c r="G46" s="125"/>
    </row>
    <row r="47" spans="5:7" s="123" customFormat="1">
      <c r="E47" s="124"/>
      <c r="F47" s="125"/>
      <c r="G47" s="125"/>
    </row>
    <row r="48" spans="5:7" s="123" customFormat="1">
      <c r="E48" s="124"/>
      <c r="F48" s="125"/>
      <c r="G48" s="125"/>
    </row>
    <row r="49" spans="5:7" s="123" customFormat="1">
      <c r="E49" s="124"/>
      <c r="F49" s="125"/>
      <c r="G49" s="125"/>
    </row>
    <row r="50" spans="5:7" s="123" customFormat="1">
      <c r="E50" s="124"/>
      <c r="F50" s="125"/>
      <c r="G50" s="125"/>
    </row>
    <row r="51" spans="5:7" s="123" customFormat="1">
      <c r="E51" s="124"/>
      <c r="F51" s="125"/>
      <c r="G51" s="125"/>
    </row>
    <row r="52" spans="5:7" s="123" customFormat="1">
      <c r="E52" s="124"/>
      <c r="F52" s="125"/>
      <c r="G52" s="125"/>
    </row>
    <row r="53" spans="5:7" s="123" customFormat="1">
      <c r="E53" s="124"/>
      <c r="F53" s="125"/>
      <c r="G53" s="125"/>
    </row>
    <row r="54" spans="5:7" s="123" customFormat="1">
      <c r="E54" s="124"/>
      <c r="F54" s="125"/>
      <c r="G54" s="125"/>
    </row>
    <row r="55" spans="5:7" s="123" customFormat="1">
      <c r="E55" s="124"/>
      <c r="F55" s="125"/>
      <c r="G55" s="125"/>
    </row>
    <row r="56" spans="5:7" s="123" customFormat="1">
      <c r="E56" s="124"/>
      <c r="F56" s="125"/>
      <c r="G56" s="125"/>
    </row>
    <row r="57" spans="5:7" s="123" customFormat="1">
      <c r="E57" s="124"/>
      <c r="F57" s="125"/>
      <c r="G57" s="125"/>
    </row>
    <row r="58" spans="5:7" s="123" customFormat="1">
      <c r="E58" s="124"/>
      <c r="F58" s="125"/>
      <c r="G58" s="125"/>
    </row>
    <row r="59" spans="5:7" s="123" customFormat="1">
      <c r="E59" s="124"/>
      <c r="F59" s="125"/>
      <c r="G59" s="125"/>
    </row>
    <row r="60" spans="5:7" s="123" customFormat="1">
      <c r="E60" s="124"/>
      <c r="F60" s="125"/>
      <c r="G60" s="125"/>
    </row>
    <row r="61" spans="5:7" s="123" customFormat="1">
      <c r="E61" s="124"/>
      <c r="F61" s="125"/>
      <c r="G61" s="125"/>
    </row>
    <row r="62" spans="5:7" s="123" customFormat="1">
      <c r="E62" s="124"/>
      <c r="F62" s="125"/>
      <c r="G62" s="125"/>
    </row>
    <row r="63" spans="5:7" s="123" customFormat="1">
      <c r="E63" s="124"/>
      <c r="F63" s="125"/>
      <c r="G63" s="125"/>
    </row>
    <row r="64" spans="5:7" s="123" customFormat="1">
      <c r="E64" s="124"/>
      <c r="F64" s="125"/>
      <c r="G64" s="125"/>
    </row>
    <row r="65" spans="5:52" s="123" customFormat="1">
      <c r="E65" s="124"/>
      <c r="F65" s="125"/>
      <c r="G65" s="125"/>
    </row>
    <row r="66" spans="5:52" s="123" customFormat="1">
      <c r="E66" s="124"/>
      <c r="F66" s="125"/>
      <c r="G66" s="125"/>
    </row>
    <row r="67" spans="5:52" s="123" customFormat="1">
      <c r="E67" s="124"/>
      <c r="F67" s="125"/>
      <c r="G67" s="125"/>
    </row>
    <row r="68" spans="5:52" s="123" customFormat="1">
      <c r="E68" s="124"/>
      <c r="F68" s="125"/>
      <c r="G68" s="125"/>
    </row>
    <row r="69" spans="5:52" s="123" customFormat="1">
      <c r="E69" s="124"/>
      <c r="F69" s="125"/>
      <c r="G69" s="125"/>
    </row>
    <row r="70" spans="5:52" s="123" customFormat="1">
      <c r="E70" s="124"/>
      <c r="F70" s="125"/>
      <c r="G70" s="125"/>
    </row>
    <row r="71" spans="5:52" s="123" customFormat="1">
      <c r="E71" s="124"/>
      <c r="F71" s="125"/>
      <c r="G71" s="125"/>
    </row>
    <row r="72" spans="5:52" s="123" customFormat="1">
      <c r="E72" s="124"/>
      <c r="F72" s="125"/>
      <c r="G72" s="125"/>
    </row>
    <row r="73" spans="5:52" s="123" customFormat="1">
      <c r="E73" s="124"/>
      <c r="F73" s="125"/>
      <c r="G73" s="125"/>
    </row>
    <row r="74" spans="5:52" s="123" customFormat="1">
      <c r="E74" s="124"/>
      <c r="F74" s="125"/>
      <c r="G74" s="125"/>
    </row>
    <row r="75" spans="5:52" s="123" customFormat="1">
      <c r="E75" s="124"/>
      <c r="F75" s="125"/>
      <c r="G75" s="125"/>
    </row>
    <row r="76" spans="5:52" s="123" customFormat="1">
      <c r="E76" s="124"/>
      <c r="F76" s="125"/>
      <c r="G76" s="125"/>
    </row>
    <row r="77" spans="5:52" s="123" customFormat="1">
      <c r="E77" s="124"/>
      <c r="F77" s="125"/>
      <c r="G77" s="125"/>
    </row>
    <row r="78" spans="5:52" s="123" customFormat="1">
      <c r="E78" s="124"/>
      <c r="F78" s="125"/>
      <c r="G78" s="125"/>
    </row>
    <row r="79" spans="5:52" s="148" customFormat="1">
      <c r="E79" s="149"/>
      <c r="F79" s="150"/>
      <c r="G79" s="150"/>
      <c r="Z79" s="123"/>
      <c r="AA79" s="123"/>
      <c r="AB79" s="123"/>
      <c r="AC79" s="123"/>
      <c r="AD79" s="123"/>
      <c r="AE79" s="123"/>
      <c r="AF79" s="123"/>
      <c r="AG79" s="123"/>
      <c r="AH79" s="123"/>
      <c r="AI79" s="123"/>
      <c r="AJ79" s="123"/>
      <c r="AK79" s="123"/>
      <c r="AL79" s="123"/>
      <c r="AM79" s="123"/>
      <c r="AN79" s="123"/>
      <c r="AO79" s="123"/>
      <c r="AP79" s="123"/>
      <c r="AQ79" s="123"/>
      <c r="AR79" s="123"/>
      <c r="AS79" s="123"/>
      <c r="AT79" s="123"/>
      <c r="AU79" s="123"/>
      <c r="AV79" s="123"/>
      <c r="AW79" s="123"/>
      <c r="AX79" s="123"/>
      <c r="AY79" s="123"/>
      <c r="AZ79" s="123"/>
    </row>
    <row r="80" spans="5:52" s="148" customFormat="1">
      <c r="E80" s="149"/>
      <c r="F80" s="150"/>
      <c r="G80" s="150"/>
      <c r="Z80" s="123"/>
      <c r="AA80" s="123"/>
      <c r="AB80" s="123"/>
      <c r="AC80" s="123"/>
      <c r="AD80" s="123"/>
      <c r="AE80" s="123"/>
      <c r="AF80" s="123"/>
      <c r="AG80" s="123"/>
      <c r="AH80" s="123"/>
      <c r="AI80" s="123"/>
      <c r="AJ80" s="123"/>
      <c r="AK80" s="123"/>
      <c r="AL80" s="123"/>
      <c r="AM80" s="123"/>
      <c r="AN80" s="123"/>
      <c r="AO80" s="123"/>
      <c r="AP80" s="123"/>
      <c r="AQ80" s="123"/>
      <c r="AR80" s="123"/>
      <c r="AS80" s="123"/>
      <c r="AT80" s="123"/>
      <c r="AU80" s="123"/>
      <c r="AV80" s="123"/>
      <c r="AW80" s="123"/>
      <c r="AX80" s="123"/>
      <c r="AY80" s="123"/>
      <c r="AZ80" s="123"/>
    </row>
    <row r="81" spans="5:52" s="148" customFormat="1">
      <c r="E81" s="149"/>
      <c r="F81" s="150"/>
      <c r="G81" s="150"/>
      <c r="Z81" s="123"/>
      <c r="AA81" s="123"/>
      <c r="AB81" s="123"/>
      <c r="AC81" s="123"/>
      <c r="AD81" s="123"/>
      <c r="AE81" s="123"/>
      <c r="AF81" s="123"/>
      <c r="AG81" s="123"/>
      <c r="AH81" s="123"/>
      <c r="AI81" s="123"/>
      <c r="AJ81" s="123"/>
      <c r="AK81" s="123"/>
      <c r="AL81" s="123"/>
      <c r="AM81" s="123"/>
      <c r="AN81" s="123"/>
      <c r="AO81" s="123"/>
      <c r="AP81" s="123"/>
      <c r="AQ81" s="123"/>
      <c r="AR81" s="123"/>
      <c r="AS81" s="123"/>
      <c r="AT81" s="123"/>
      <c r="AU81" s="123"/>
      <c r="AV81" s="123"/>
      <c r="AW81" s="123"/>
      <c r="AX81" s="123"/>
      <c r="AY81" s="123"/>
      <c r="AZ81" s="123"/>
    </row>
    <row r="82" spans="5:52" s="148" customFormat="1">
      <c r="E82" s="149"/>
      <c r="F82" s="150"/>
      <c r="G82" s="150"/>
      <c r="Z82" s="123"/>
      <c r="AA82" s="123"/>
      <c r="AB82" s="123"/>
      <c r="AC82" s="123"/>
      <c r="AD82" s="123"/>
      <c r="AE82" s="123"/>
      <c r="AF82" s="123"/>
      <c r="AG82" s="123"/>
      <c r="AH82" s="123"/>
      <c r="AI82" s="123"/>
      <c r="AJ82" s="123"/>
      <c r="AK82" s="123"/>
      <c r="AL82" s="123"/>
      <c r="AM82" s="123"/>
      <c r="AN82" s="123"/>
      <c r="AO82" s="123"/>
      <c r="AP82" s="123"/>
      <c r="AQ82" s="123"/>
      <c r="AR82" s="123"/>
      <c r="AS82" s="123"/>
      <c r="AT82" s="123"/>
      <c r="AU82" s="123"/>
      <c r="AV82" s="123"/>
      <c r="AW82" s="123"/>
      <c r="AX82" s="123"/>
      <c r="AY82" s="123"/>
      <c r="AZ82" s="123"/>
    </row>
    <row r="83" spans="5:52" s="148" customFormat="1">
      <c r="E83" s="149"/>
      <c r="F83" s="150"/>
      <c r="G83" s="150"/>
      <c r="Z83" s="123"/>
      <c r="AA83" s="123"/>
      <c r="AB83" s="123"/>
      <c r="AC83" s="123"/>
      <c r="AD83" s="123"/>
      <c r="AE83" s="123"/>
      <c r="AF83" s="123"/>
      <c r="AG83" s="123"/>
      <c r="AH83" s="123"/>
      <c r="AI83" s="123"/>
      <c r="AJ83" s="123"/>
      <c r="AK83" s="123"/>
      <c r="AL83" s="123"/>
      <c r="AM83" s="123"/>
      <c r="AN83" s="123"/>
      <c r="AO83" s="123"/>
      <c r="AP83" s="123"/>
      <c r="AQ83" s="123"/>
      <c r="AR83" s="123"/>
      <c r="AS83" s="123"/>
      <c r="AT83" s="123"/>
      <c r="AU83" s="123"/>
      <c r="AV83" s="123"/>
      <c r="AW83" s="123"/>
      <c r="AX83" s="123"/>
      <c r="AY83" s="123"/>
      <c r="AZ83" s="123"/>
    </row>
    <row r="84" spans="5:52" s="148" customFormat="1">
      <c r="E84" s="149"/>
      <c r="F84" s="150"/>
      <c r="G84" s="150"/>
      <c r="Z84" s="123"/>
      <c r="AA84" s="123"/>
      <c r="AB84" s="123"/>
      <c r="AC84" s="123"/>
      <c r="AD84" s="123"/>
      <c r="AE84" s="123"/>
      <c r="AF84" s="123"/>
      <c r="AG84" s="123"/>
      <c r="AH84" s="123"/>
      <c r="AI84" s="123"/>
      <c r="AJ84" s="123"/>
      <c r="AK84" s="123"/>
      <c r="AL84" s="123"/>
      <c r="AM84" s="123"/>
      <c r="AN84" s="123"/>
      <c r="AO84" s="123"/>
      <c r="AP84" s="123"/>
      <c r="AQ84" s="123"/>
      <c r="AR84" s="123"/>
      <c r="AS84" s="123"/>
      <c r="AT84" s="123"/>
      <c r="AU84" s="123"/>
      <c r="AV84" s="123"/>
      <c r="AW84" s="123"/>
      <c r="AX84" s="123"/>
      <c r="AY84" s="123"/>
      <c r="AZ84" s="123"/>
    </row>
  </sheetData>
  <mergeCells count="1">
    <mergeCell ref="A21:D21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2B50A-F2FF-4CE6-9547-6D2D1E45D2E8}">
  <sheetPr>
    <tabColor theme="9" tint="0.39997558519241921"/>
  </sheetPr>
  <dimension ref="A1:AX387"/>
  <sheetViews>
    <sheetView zoomScale="73" zoomScaleNormal="90" workbookViewId="0">
      <selection activeCell="A5" sqref="A5"/>
    </sheetView>
  </sheetViews>
  <sheetFormatPr baseColWidth="10" defaultColWidth="18.3984375" defaultRowHeight="14.25"/>
  <cols>
    <col min="1" max="4" width="18.3984375" style="91" customWidth="1"/>
    <col min="5" max="5" width="18.3984375" style="92" customWidth="1"/>
    <col min="6" max="7" width="18.3984375" style="78" customWidth="1"/>
    <col min="8" max="24" width="18.3984375" style="91"/>
    <col min="25" max="25" width="18.3984375" style="130"/>
    <col min="26" max="48" width="18.3984375" style="123"/>
    <col min="49" max="49" width="18.3984375" style="102"/>
    <col min="50" max="16384" width="18.3984375" style="91"/>
  </cols>
  <sheetData>
    <row r="1" spans="1:49" s="90" customFormat="1" ht="36.6" customHeight="1">
      <c r="A1" s="88" t="s">
        <v>176</v>
      </c>
      <c r="B1" s="88" t="s">
        <v>179</v>
      </c>
      <c r="C1" s="88" t="s">
        <v>187</v>
      </c>
      <c r="D1" s="88" t="s">
        <v>74</v>
      </c>
      <c r="E1" s="88" t="s">
        <v>188</v>
      </c>
      <c r="F1" s="88" t="s">
        <v>189</v>
      </c>
      <c r="G1" s="88" t="s">
        <v>52</v>
      </c>
      <c r="H1" s="89" t="s">
        <v>212</v>
      </c>
      <c r="I1" s="89" t="s">
        <v>213</v>
      </c>
      <c r="J1" s="89" t="s">
        <v>214</v>
      </c>
      <c r="K1" s="89" t="s">
        <v>215</v>
      </c>
      <c r="L1" s="89" t="s">
        <v>216</v>
      </c>
      <c r="M1" s="89" t="s">
        <v>217</v>
      </c>
      <c r="N1" s="89" t="s">
        <v>218</v>
      </c>
      <c r="O1" s="89" t="s">
        <v>219</v>
      </c>
      <c r="P1" s="89" t="s">
        <v>220</v>
      </c>
      <c r="Q1" s="89" t="s">
        <v>221</v>
      </c>
      <c r="R1" s="89" t="s">
        <v>222</v>
      </c>
      <c r="S1" s="89" t="s">
        <v>223</v>
      </c>
      <c r="T1" s="89" t="s">
        <v>224</v>
      </c>
      <c r="U1" s="89" t="s">
        <v>225</v>
      </c>
      <c r="V1" s="89" t="s">
        <v>226</v>
      </c>
      <c r="W1" s="89" t="s">
        <v>227</v>
      </c>
      <c r="X1" s="89" t="s">
        <v>228</v>
      </c>
      <c r="Y1" s="126" t="s">
        <v>229</v>
      </c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1"/>
    </row>
    <row r="2" spans="1:49" hidden="1">
      <c r="A2" s="75" t="s">
        <v>230</v>
      </c>
      <c r="B2" s="75" t="s">
        <v>231</v>
      </c>
      <c r="C2" s="75" t="s">
        <v>230</v>
      </c>
      <c r="D2" s="75" t="s">
        <v>27</v>
      </c>
      <c r="E2" s="76">
        <v>79316865070</v>
      </c>
      <c r="F2" s="94">
        <v>4</v>
      </c>
      <c r="G2" s="94">
        <v>2036</v>
      </c>
      <c r="H2" s="94">
        <v>0</v>
      </c>
      <c r="I2" s="94">
        <v>0</v>
      </c>
      <c r="J2" s="94">
        <v>0</v>
      </c>
      <c r="K2" s="94">
        <v>0</v>
      </c>
      <c r="L2" s="94">
        <v>0</v>
      </c>
      <c r="M2" s="94">
        <v>0</v>
      </c>
      <c r="N2" s="94">
        <v>0</v>
      </c>
      <c r="O2" s="94">
        <v>0</v>
      </c>
      <c r="P2" s="94">
        <v>0</v>
      </c>
      <c r="Q2" s="94">
        <v>0</v>
      </c>
      <c r="R2" s="94">
        <v>0</v>
      </c>
      <c r="S2" s="94">
        <v>0</v>
      </c>
      <c r="T2" s="94">
        <v>0</v>
      </c>
      <c r="U2" s="94">
        <v>0</v>
      </c>
      <c r="V2" s="94">
        <v>0</v>
      </c>
      <c r="W2" s="94">
        <v>0</v>
      </c>
      <c r="X2" s="94">
        <v>0</v>
      </c>
      <c r="Y2" s="127">
        <v>0</v>
      </c>
    </row>
    <row r="3" spans="1:49" hidden="1">
      <c r="A3" s="75" t="s">
        <v>232</v>
      </c>
      <c r="B3" s="75" t="s">
        <v>231</v>
      </c>
      <c r="C3" s="75" t="s">
        <v>232</v>
      </c>
      <c r="D3" s="75" t="s">
        <v>18</v>
      </c>
      <c r="E3" s="76">
        <v>83008042889</v>
      </c>
      <c r="F3" s="94">
        <v>3</v>
      </c>
      <c r="G3" s="94">
        <v>2295</v>
      </c>
      <c r="H3" s="94">
        <v>0</v>
      </c>
      <c r="I3" s="94">
        <v>0</v>
      </c>
      <c r="J3" s="94">
        <v>0</v>
      </c>
      <c r="K3" s="94">
        <v>0</v>
      </c>
      <c r="L3" s="94">
        <v>0</v>
      </c>
      <c r="M3" s="94">
        <v>0</v>
      </c>
      <c r="N3" s="94">
        <v>0</v>
      </c>
      <c r="O3" s="94">
        <v>0</v>
      </c>
      <c r="P3" s="94">
        <v>0</v>
      </c>
      <c r="Q3" s="94">
        <v>0</v>
      </c>
      <c r="R3" s="94">
        <v>0</v>
      </c>
      <c r="S3" s="94">
        <v>0</v>
      </c>
      <c r="T3" s="94">
        <v>0</v>
      </c>
      <c r="U3" s="94">
        <v>0</v>
      </c>
      <c r="V3" s="94">
        <v>0</v>
      </c>
      <c r="W3" s="94">
        <v>0</v>
      </c>
      <c r="X3" s="94">
        <v>0</v>
      </c>
      <c r="Y3" s="127">
        <v>0</v>
      </c>
    </row>
    <row r="4" spans="1:49" hidden="1">
      <c r="A4" s="75" t="s">
        <v>233</v>
      </c>
      <c r="B4" s="75" t="s">
        <v>116</v>
      </c>
      <c r="C4" s="75" t="s">
        <v>195</v>
      </c>
      <c r="D4" s="75" t="s">
        <v>27</v>
      </c>
      <c r="E4" s="76">
        <v>322709746890</v>
      </c>
      <c r="F4" s="94">
        <v>11.73</v>
      </c>
      <c r="G4" s="94">
        <v>10664</v>
      </c>
      <c r="H4" s="94">
        <v>0</v>
      </c>
      <c r="I4" s="94">
        <v>0</v>
      </c>
      <c r="J4" s="94">
        <v>0</v>
      </c>
      <c r="K4" s="94">
        <v>0</v>
      </c>
      <c r="L4" s="94">
        <v>0</v>
      </c>
      <c r="M4" s="94">
        <v>0</v>
      </c>
      <c r="N4" s="94">
        <v>0</v>
      </c>
      <c r="O4" s="94">
        <v>0</v>
      </c>
      <c r="P4" s="94">
        <v>0</v>
      </c>
      <c r="Q4" s="94">
        <v>0</v>
      </c>
      <c r="R4" s="94">
        <v>0</v>
      </c>
      <c r="S4" s="94">
        <v>0</v>
      </c>
      <c r="T4" s="94">
        <v>0</v>
      </c>
      <c r="U4" s="94">
        <v>0</v>
      </c>
      <c r="V4" s="94">
        <v>0</v>
      </c>
      <c r="W4" s="94">
        <v>0</v>
      </c>
      <c r="X4" s="94">
        <v>0</v>
      </c>
      <c r="Y4" s="127">
        <v>0</v>
      </c>
    </row>
    <row r="5" spans="1:49" ht="39.4">
      <c r="A5" s="75" t="s">
        <v>234</v>
      </c>
      <c r="B5" s="75" t="s">
        <v>115</v>
      </c>
      <c r="C5" s="75" t="s">
        <v>197</v>
      </c>
      <c r="D5" s="75" t="s">
        <v>22</v>
      </c>
      <c r="E5" s="76">
        <v>121589085878</v>
      </c>
      <c r="F5" s="94">
        <v>4.16</v>
      </c>
      <c r="G5" s="94">
        <v>3783</v>
      </c>
      <c r="H5" s="94">
        <v>0</v>
      </c>
      <c r="I5" s="94">
        <v>0</v>
      </c>
      <c r="J5" s="94">
        <v>0</v>
      </c>
      <c r="K5" s="94">
        <v>0</v>
      </c>
      <c r="L5" s="94">
        <v>0</v>
      </c>
      <c r="M5" s="94">
        <v>0</v>
      </c>
      <c r="N5" s="94">
        <v>0</v>
      </c>
      <c r="O5" s="94">
        <v>0</v>
      </c>
      <c r="P5" s="94">
        <v>0</v>
      </c>
      <c r="Q5" s="94">
        <v>0</v>
      </c>
      <c r="R5" s="94">
        <v>0</v>
      </c>
      <c r="S5" s="94">
        <v>0</v>
      </c>
      <c r="T5" s="94">
        <v>0</v>
      </c>
      <c r="U5" s="94">
        <v>0</v>
      </c>
      <c r="V5" s="94">
        <v>0</v>
      </c>
      <c r="W5" s="94">
        <v>0</v>
      </c>
      <c r="X5" s="94">
        <v>0</v>
      </c>
      <c r="Y5" s="127">
        <v>0</v>
      </c>
    </row>
    <row r="6" spans="1:49">
      <c r="A6" s="75" t="s">
        <v>114</v>
      </c>
      <c r="B6" s="75" t="s">
        <v>113</v>
      </c>
      <c r="C6" s="75" t="s">
        <v>114</v>
      </c>
      <c r="D6" s="75" t="s">
        <v>22</v>
      </c>
      <c r="E6" s="76">
        <v>27742028640</v>
      </c>
      <c r="F6" s="94">
        <v>0.95</v>
      </c>
      <c r="G6" s="94">
        <v>862</v>
      </c>
      <c r="H6" s="94">
        <v>0</v>
      </c>
      <c r="I6" s="94">
        <v>0</v>
      </c>
      <c r="J6" s="94">
        <v>0</v>
      </c>
      <c r="K6" s="94">
        <v>0</v>
      </c>
      <c r="L6" s="94">
        <v>0</v>
      </c>
      <c r="M6" s="94">
        <v>0</v>
      </c>
      <c r="N6" s="94">
        <v>0</v>
      </c>
      <c r="O6" s="94">
        <v>0</v>
      </c>
      <c r="P6" s="94">
        <v>0</v>
      </c>
      <c r="Q6" s="94">
        <v>0</v>
      </c>
      <c r="R6" s="94">
        <v>0</v>
      </c>
      <c r="S6" s="94">
        <v>0</v>
      </c>
      <c r="T6" s="94">
        <v>0</v>
      </c>
      <c r="U6" s="94">
        <v>0</v>
      </c>
      <c r="V6" s="94">
        <v>0</v>
      </c>
      <c r="W6" s="94">
        <v>0</v>
      </c>
      <c r="X6" s="94">
        <v>0</v>
      </c>
      <c r="Y6" s="127">
        <v>0</v>
      </c>
    </row>
    <row r="7" spans="1:49">
      <c r="A7" s="75" t="s">
        <v>110</v>
      </c>
      <c r="B7" s="75" t="s">
        <v>109</v>
      </c>
      <c r="C7" s="75" t="s">
        <v>200</v>
      </c>
      <c r="D7" s="75" t="s">
        <v>22</v>
      </c>
      <c r="E7" s="76">
        <v>51087244522</v>
      </c>
      <c r="F7" s="94">
        <v>1.74</v>
      </c>
      <c r="G7" s="94">
        <v>1581</v>
      </c>
      <c r="H7" s="94">
        <v>0</v>
      </c>
      <c r="I7" s="94">
        <v>0</v>
      </c>
      <c r="J7" s="94">
        <v>0</v>
      </c>
      <c r="K7" s="94">
        <v>0</v>
      </c>
      <c r="L7" s="94">
        <v>0</v>
      </c>
      <c r="M7" s="94">
        <v>0</v>
      </c>
      <c r="N7" s="94">
        <v>0</v>
      </c>
      <c r="O7" s="94">
        <v>0</v>
      </c>
      <c r="P7" s="94">
        <v>0</v>
      </c>
      <c r="Q7" s="94">
        <v>0</v>
      </c>
      <c r="R7" s="94">
        <v>0</v>
      </c>
      <c r="S7" s="94">
        <v>0</v>
      </c>
      <c r="T7" s="94">
        <v>0</v>
      </c>
      <c r="U7" s="94">
        <v>0</v>
      </c>
      <c r="V7" s="94">
        <v>0</v>
      </c>
      <c r="W7" s="94">
        <v>0</v>
      </c>
      <c r="X7" s="94">
        <v>0</v>
      </c>
      <c r="Y7" s="127">
        <v>0</v>
      </c>
    </row>
    <row r="8" spans="1:49" ht="65.650000000000006">
      <c r="A8" s="75" t="s">
        <v>235</v>
      </c>
      <c r="B8" s="75" t="s">
        <v>111</v>
      </c>
      <c r="C8" s="75" t="s">
        <v>201</v>
      </c>
      <c r="D8" s="75" t="s">
        <v>22</v>
      </c>
      <c r="E8" s="76">
        <v>37573918087</v>
      </c>
      <c r="F8" s="94">
        <v>1.27</v>
      </c>
      <c r="G8" s="94">
        <v>1158</v>
      </c>
      <c r="H8" s="94">
        <v>0</v>
      </c>
      <c r="I8" s="94">
        <v>0</v>
      </c>
      <c r="J8" s="94">
        <v>0</v>
      </c>
      <c r="K8" s="94">
        <v>0</v>
      </c>
      <c r="L8" s="94">
        <v>0</v>
      </c>
      <c r="M8" s="94">
        <v>0</v>
      </c>
      <c r="N8" s="94">
        <v>0</v>
      </c>
      <c r="O8" s="94">
        <v>0</v>
      </c>
      <c r="P8" s="94">
        <v>0</v>
      </c>
      <c r="Q8" s="94">
        <v>0</v>
      </c>
      <c r="R8" s="94">
        <v>0</v>
      </c>
      <c r="S8" s="94">
        <v>0</v>
      </c>
      <c r="T8" s="94">
        <v>0</v>
      </c>
      <c r="U8" s="94">
        <v>0</v>
      </c>
      <c r="V8" s="94">
        <v>0</v>
      </c>
      <c r="W8" s="94">
        <v>0</v>
      </c>
      <c r="X8" s="94">
        <v>0</v>
      </c>
      <c r="Y8" s="127">
        <v>0</v>
      </c>
    </row>
    <row r="9" spans="1:49">
      <c r="A9" s="75" t="s">
        <v>236</v>
      </c>
      <c r="B9" s="75" t="s">
        <v>111</v>
      </c>
      <c r="C9" s="75" t="s">
        <v>202</v>
      </c>
      <c r="D9" s="75" t="s">
        <v>22</v>
      </c>
      <c r="E9" s="76">
        <v>4402514558</v>
      </c>
      <c r="F9" s="94">
        <v>0.19</v>
      </c>
      <c r="G9" s="94">
        <v>154</v>
      </c>
      <c r="H9" s="94">
        <v>0</v>
      </c>
      <c r="I9" s="94">
        <v>0</v>
      </c>
      <c r="J9" s="94">
        <v>0</v>
      </c>
      <c r="K9" s="94">
        <v>0</v>
      </c>
      <c r="L9" s="94">
        <v>0</v>
      </c>
      <c r="M9" s="94">
        <v>0</v>
      </c>
      <c r="N9" s="94">
        <v>0</v>
      </c>
      <c r="O9" s="94">
        <v>0</v>
      </c>
      <c r="P9" s="94">
        <v>0</v>
      </c>
      <c r="Q9" s="94">
        <v>0</v>
      </c>
      <c r="R9" s="94">
        <v>0</v>
      </c>
      <c r="S9" s="94">
        <v>0</v>
      </c>
      <c r="T9" s="94">
        <v>0</v>
      </c>
      <c r="U9" s="94">
        <v>0</v>
      </c>
      <c r="V9" s="94">
        <v>0</v>
      </c>
      <c r="W9" s="94">
        <v>0</v>
      </c>
      <c r="X9" s="94">
        <v>0</v>
      </c>
      <c r="Y9" s="127">
        <v>0</v>
      </c>
    </row>
    <row r="10" spans="1:49" hidden="1">
      <c r="A10" s="75" t="s">
        <v>203</v>
      </c>
      <c r="B10" s="75" t="s">
        <v>120</v>
      </c>
      <c r="C10" s="75" t="s">
        <v>203</v>
      </c>
      <c r="D10" s="75" t="s">
        <v>18</v>
      </c>
      <c r="E10" s="76">
        <v>31420264769</v>
      </c>
      <c r="F10" s="94">
        <v>1.21</v>
      </c>
      <c r="G10" s="94">
        <v>1003</v>
      </c>
      <c r="H10" s="94">
        <v>0</v>
      </c>
      <c r="I10" s="94">
        <v>0</v>
      </c>
      <c r="J10" s="94">
        <v>0</v>
      </c>
      <c r="K10" s="94">
        <v>0</v>
      </c>
      <c r="L10" s="94">
        <v>0</v>
      </c>
      <c r="M10" s="94">
        <v>0</v>
      </c>
      <c r="N10" s="94">
        <v>0</v>
      </c>
      <c r="O10" s="94">
        <v>0</v>
      </c>
      <c r="P10" s="94">
        <v>0</v>
      </c>
      <c r="Q10" s="94">
        <v>0</v>
      </c>
      <c r="R10" s="94">
        <v>0</v>
      </c>
      <c r="S10" s="94">
        <v>0</v>
      </c>
      <c r="T10" s="94">
        <v>0</v>
      </c>
      <c r="U10" s="94">
        <v>0</v>
      </c>
      <c r="V10" s="94">
        <v>0</v>
      </c>
      <c r="W10" s="94">
        <v>0</v>
      </c>
      <c r="X10" s="94">
        <v>0</v>
      </c>
      <c r="Y10" s="127">
        <v>0</v>
      </c>
    </row>
    <row r="11" spans="1:49">
      <c r="A11" s="75" t="s">
        <v>102</v>
      </c>
      <c r="B11" s="75" t="s">
        <v>101</v>
      </c>
      <c r="C11" s="75" t="s">
        <v>204</v>
      </c>
      <c r="D11" s="75" t="s">
        <v>22</v>
      </c>
      <c r="E11" s="76">
        <v>18447808737</v>
      </c>
      <c r="F11" s="94">
        <v>0.76</v>
      </c>
      <c r="G11" s="94">
        <v>623</v>
      </c>
      <c r="H11" s="94">
        <v>40</v>
      </c>
      <c r="I11" s="94">
        <v>65</v>
      </c>
      <c r="J11" s="94">
        <v>75</v>
      </c>
      <c r="K11" s="94">
        <v>10</v>
      </c>
      <c r="L11" s="94">
        <v>0</v>
      </c>
      <c r="M11" s="94">
        <v>0</v>
      </c>
      <c r="N11" s="94">
        <v>0</v>
      </c>
      <c r="O11" s="94">
        <v>0</v>
      </c>
      <c r="P11" s="94">
        <v>0</v>
      </c>
      <c r="Q11" s="94">
        <v>0</v>
      </c>
      <c r="R11" s="94">
        <v>0</v>
      </c>
      <c r="S11" s="94">
        <v>0</v>
      </c>
      <c r="T11" s="94">
        <v>0</v>
      </c>
      <c r="U11" s="94">
        <v>0</v>
      </c>
      <c r="V11" s="94">
        <v>0</v>
      </c>
      <c r="W11" s="94">
        <v>0</v>
      </c>
      <c r="X11" s="94">
        <v>0</v>
      </c>
      <c r="Y11" s="127">
        <v>0</v>
      </c>
    </row>
    <row r="12" spans="1:49">
      <c r="A12" s="75" t="s">
        <v>205</v>
      </c>
      <c r="B12" s="75" t="s">
        <v>101</v>
      </c>
      <c r="C12" s="75" t="s">
        <v>205</v>
      </c>
      <c r="D12" s="75" t="s">
        <v>22</v>
      </c>
      <c r="E12" s="76">
        <v>18114661005</v>
      </c>
      <c r="F12" s="94">
        <v>0.76</v>
      </c>
      <c r="G12" s="94">
        <v>624</v>
      </c>
      <c r="H12" s="94">
        <v>0</v>
      </c>
      <c r="I12" s="94">
        <v>0</v>
      </c>
      <c r="J12" s="94">
        <v>0</v>
      </c>
      <c r="K12" s="94">
        <v>0</v>
      </c>
      <c r="L12" s="94">
        <v>0</v>
      </c>
      <c r="M12" s="94">
        <v>0</v>
      </c>
      <c r="N12" s="94">
        <v>0</v>
      </c>
      <c r="O12" s="94">
        <v>0</v>
      </c>
      <c r="P12" s="94">
        <v>0</v>
      </c>
      <c r="Q12" s="94">
        <v>0</v>
      </c>
      <c r="R12" s="94">
        <v>0</v>
      </c>
      <c r="S12" s="94">
        <v>0</v>
      </c>
      <c r="T12" s="94">
        <v>0</v>
      </c>
      <c r="U12" s="94">
        <v>0</v>
      </c>
      <c r="V12" s="94">
        <v>0</v>
      </c>
      <c r="W12" s="94">
        <v>0</v>
      </c>
      <c r="X12" s="94">
        <v>0</v>
      </c>
      <c r="Y12" s="127">
        <v>0</v>
      </c>
    </row>
    <row r="13" spans="1:49" hidden="1">
      <c r="A13" s="75" t="s">
        <v>122</v>
      </c>
      <c r="B13" s="75" t="s">
        <v>116</v>
      </c>
      <c r="C13" s="75" t="s">
        <v>122</v>
      </c>
      <c r="D13" s="75" t="s">
        <v>18</v>
      </c>
      <c r="E13" s="76">
        <v>30713269905</v>
      </c>
      <c r="F13" s="94">
        <v>1.2</v>
      </c>
      <c r="G13" s="94">
        <v>1000</v>
      </c>
      <c r="H13" s="94">
        <v>0</v>
      </c>
      <c r="I13" s="94">
        <v>0</v>
      </c>
      <c r="J13" s="94">
        <v>0</v>
      </c>
      <c r="K13" s="94">
        <v>0</v>
      </c>
      <c r="L13" s="94">
        <v>0</v>
      </c>
      <c r="M13" s="94">
        <v>0</v>
      </c>
      <c r="N13" s="94">
        <v>0</v>
      </c>
      <c r="O13" s="94">
        <v>0</v>
      </c>
      <c r="P13" s="94">
        <v>0</v>
      </c>
      <c r="Q13" s="94">
        <v>0</v>
      </c>
      <c r="R13" s="94">
        <v>0</v>
      </c>
      <c r="S13" s="94">
        <v>0</v>
      </c>
      <c r="T13" s="94">
        <v>0</v>
      </c>
      <c r="U13" s="94">
        <v>0</v>
      </c>
      <c r="V13" s="94">
        <v>0</v>
      </c>
      <c r="W13" s="94">
        <v>0</v>
      </c>
      <c r="X13" s="94">
        <v>0</v>
      </c>
      <c r="Y13" s="127">
        <v>0</v>
      </c>
    </row>
    <row r="14" spans="1:49" hidden="1">
      <c r="A14" s="75" t="s">
        <v>206</v>
      </c>
      <c r="B14" s="75" t="s">
        <v>123</v>
      </c>
      <c r="C14" s="75" t="s">
        <v>206</v>
      </c>
      <c r="D14" s="75" t="s">
        <v>18</v>
      </c>
      <c r="E14" s="76">
        <v>6880380834</v>
      </c>
      <c r="F14" s="94">
        <v>0.31</v>
      </c>
      <c r="G14" s="94">
        <v>217</v>
      </c>
      <c r="H14" s="94">
        <v>0</v>
      </c>
      <c r="I14" s="94">
        <v>0</v>
      </c>
      <c r="J14" s="94">
        <v>0</v>
      </c>
      <c r="K14" s="94">
        <v>0</v>
      </c>
      <c r="L14" s="94">
        <v>0</v>
      </c>
      <c r="M14" s="94">
        <v>0</v>
      </c>
      <c r="N14" s="94">
        <v>0</v>
      </c>
      <c r="O14" s="94">
        <v>0</v>
      </c>
      <c r="P14" s="94">
        <v>0</v>
      </c>
      <c r="Q14" s="94">
        <v>0</v>
      </c>
      <c r="R14" s="94">
        <v>0</v>
      </c>
      <c r="S14" s="94">
        <v>0</v>
      </c>
      <c r="T14" s="94">
        <v>0</v>
      </c>
      <c r="U14" s="94">
        <v>0</v>
      </c>
      <c r="V14" s="94">
        <v>0</v>
      </c>
      <c r="W14" s="94">
        <v>0</v>
      </c>
      <c r="X14" s="94">
        <v>0</v>
      </c>
      <c r="Y14" s="127">
        <v>0</v>
      </c>
    </row>
    <row r="15" spans="1:49" hidden="1">
      <c r="A15" s="75" t="s">
        <v>207</v>
      </c>
      <c r="B15" s="75" t="s">
        <v>123</v>
      </c>
      <c r="C15" s="75" t="s">
        <v>207</v>
      </c>
      <c r="D15" s="75" t="s">
        <v>18</v>
      </c>
      <c r="E15" s="76">
        <v>22802905997</v>
      </c>
      <c r="F15" s="94">
        <v>0.72</v>
      </c>
      <c r="G15" s="94">
        <v>719</v>
      </c>
      <c r="H15" s="94">
        <v>0</v>
      </c>
      <c r="I15" s="94">
        <v>0</v>
      </c>
      <c r="J15" s="94">
        <v>0</v>
      </c>
      <c r="K15" s="94">
        <v>0</v>
      </c>
      <c r="L15" s="94">
        <v>0</v>
      </c>
      <c r="M15" s="94">
        <v>0</v>
      </c>
      <c r="N15" s="94">
        <v>0</v>
      </c>
      <c r="O15" s="94">
        <v>0</v>
      </c>
      <c r="P15" s="94">
        <v>0</v>
      </c>
      <c r="Q15" s="94">
        <v>0</v>
      </c>
      <c r="R15" s="94">
        <v>0</v>
      </c>
      <c r="S15" s="94">
        <v>0</v>
      </c>
      <c r="T15" s="94">
        <v>0</v>
      </c>
      <c r="U15" s="94">
        <v>0</v>
      </c>
      <c r="V15" s="94">
        <v>0</v>
      </c>
      <c r="W15" s="94">
        <v>0</v>
      </c>
      <c r="X15" s="94">
        <v>0</v>
      </c>
      <c r="Y15" s="127">
        <v>0</v>
      </c>
    </row>
    <row r="16" spans="1:49" hidden="1">
      <c r="A16" s="75" t="s">
        <v>208</v>
      </c>
      <c r="B16" s="75" t="s">
        <v>123</v>
      </c>
      <c r="C16" s="75" t="s">
        <v>208</v>
      </c>
      <c r="D16" s="75" t="s">
        <v>18</v>
      </c>
      <c r="E16" s="76">
        <v>9349545113</v>
      </c>
      <c r="F16" s="94">
        <v>0.42</v>
      </c>
      <c r="G16" s="94">
        <v>293</v>
      </c>
      <c r="H16" s="94">
        <v>0</v>
      </c>
      <c r="I16" s="94">
        <v>0</v>
      </c>
      <c r="J16" s="94">
        <v>0</v>
      </c>
      <c r="K16" s="94">
        <v>0</v>
      </c>
      <c r="L16" s="94">
        <v>0</v>
      </c>
      <c r="M16" s="94">
        <v>0</v>
      </c>
      <c r="N16" s="94">
        <v>0</v>
      </c>
      <c r="O16" s="94">
        <v>0</v>
      </c>
      <c r="P16" s="94">
        <v>0</v>
      </c>
      <c r="Q16" s="94">
        <v>0</v>
      </c>
      <c r="R16" s="94">
        <v>0</v>
      </c>
      <c r="S16" s="94">
        <v>0</v>
      </c>
      <c r="T16" s="94">
        <v>0</v>
      </c>
      <c r="U16" s="94">
        <v>0</v>
      </c>
      <c r="V16" s="94">
        <v>0</v>
      </c>
      <c r="W16" s="94">
        <v>0</v>
      </c>
      <c r="X16" s="94">
        <v>0</v>
      </c>
      <c r="Y16" s="127">
        <v>0</v>
      </c>
    </row>
    <row r="17" spans="1:50" hidden="1">
      <c r="A17" s="75" t="s">
        <v>209</v>
      </c>
      <c r="B17" s="75" t="s">
        <v>123</v>
      </c>
      <c r="C17" s="75" t="s">
        <v>209</v>
      </c>
      <c r="D17" s="75" t="s">
        <v>18</v>
      </c>
      <c r="E17" s="76">
        <v>24764667070</v>
      </c>
      <c r="F17" s="94">
        <v>1.1000000000000001</v>
      </c>
      <c r="G17" s="94">
        <v>777</v>
      </c>
      <c r="H17" s="94">
        <v>0</v>
      </c>
      <c r="I17" s="94">
        <v>0</v>
      </c>
      <c r="J17" s="94">
        <v>0</v>
      </c>
      <c r="K17" s="94">
        <v>0</v>
      </c>
      <c r="L17" s="94">
        <v>0</v>
      </c>
      <c r="M17" s="94">
        <v>0</v>
      </c>
      <c r="N17" s="94">
        <v>0</v>
      </c>
      <c r="O17" s="94">
        <v>0</v>
      </c>
      <c r="P17" s="94">
        <v>0</v>
      </c>
      <c r="Q17" s="94">
        <v>0</v>
      </c>
      <c r="R17" s="94">
        <v>0</v>
      </c>
      <c r="S17" s="94">
        <v>0</v>
      </c>
      <c r="T17" s="94">
        <v>0</v>
      </c>
      <c r="U17" s="94">
        <v>0</v>
      </c>
      <c r="V17" s="94">
        <v>0</v>
      </c>
      <c r="W17" s="94">
        <v>0</v>
      </c>
      <c r="X17" s="94">
        <v>0</v>
      </c>
      <c r="Y17" s="127">
        <v>0</v>
      </c>
    </row>
    <row r="18" spans="1:50" hidden="1">
      <c r="A18" s="75" t="s">
        <v>210</v>
      </c>
      <c r="B18" s="75" t="s">
        <v>185</v>
      </c>
      <c r="C18" s="75" t="s">
        <v>210</v>
      </c>
      <c r="D18" s="75" t="s">
        <v>18</v>
      </c>
      <c r="E18" s="76">
        <v>24437339433</v>
      </c>
      <c r="F18" s="94">
        <v>1.52</v>
      </c>
      <c r="G18" s="94">
        <v>755</v>
      </c>
      <c r="H18" s="94">
        <v>0</v>
      </c>
      <c r="I18" s="94">
        <v>0</v>
      </c>
      <c r="J18" s="94">
        <v>0</v>
      </c>
      <c r="K18" s="94">
        <v>0</v>
      </c>
      <c r="L18" s="94">
        <v>0</v>
      </c>
      <c r="M18" s="94">
        <v>0</v>
      </c>
      <c r="N18" s="94">
        <v>0</v>
      </c>
      <c r="O18" s="94">
        <v>0</v>
      </c>
      <c r="P18" s="94">
        <v>0</v>
      </c>
      <c r="Q18" s="94">
        <v>0</v>
      </c>
      <c r="R18" s="94">
        <v>0</v>
      </c>
      <c r="S18" s="94">
        <v>0</v>
      </c>
      <c r="T18" s="94">
        <v>0</v>
      </c>
      <c r="U18" s="94">
        <v>0</v>
      </c>
      <c r="V18" s="94">
        <v>0</v>
      </c>
      <c r="W18" s="94">
        <v>0</v>
      </c>
      <c r="X18" s="94">
        <v>0</v>
      </c>
      <c r="Y18" s="127">
        <v>0</v>
      </c>
    </row>
    <row r="19" spans="1:50" s="79" customFormat="1">
      <c r="A19" s="95" t="s">
        <v>127</v>
      </c>
      <c r="B19" s="96" t="s">
        <v>126</v>
      </c>
      <c r="C19" s="96" t="s">
        <v>126</v>
      </c>
      <c r="D19" s="96" t="s">
        <v>183</v>
      </c>
      <c r="E19" s="158">
        <v>41281267500</v>
      </c>
      <c r="F19" s="117">
        <v>4.3499999999999996</v>
      </c>
      <c r="G19" s="96">
        <v>2500</v>
      </c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135"/>
      <c r="AN19" s="135"/>
      <c r="AO19" s="135"/>
      <c r="AP19" s="135"/>
      <c r="AQ19" s="135"/>
      <c r="AR19" s="135"/>
      <c r="AS19" s="135"/>
      <c r="AT19" s="135"/>
      <c r="AU19" s="135"/>
      <c r="AV19" s="135"/>
      <c r="AW19" s="135"/>
      <c r="AX19" s="135"/>
    </row>
    <row r="20" spans="1:50">
      <c r="A20" s="103"/>
      <c r="B20" s="103"/>
      <c r="C20" s="103"/>
      <c r="D20" s="103"/>
      <c r="E20" s="104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28"/>
    </row>
    <row r="21" spans="1:50" s="103" customFormat="1">
      <c r="A21" s="224" t="s">
        <v>237</v>
      </c>
      <c r="B21" s="224"/>
      <c r="C21" s="224"/>
      <c r="D21" s="224"/>
      <c r="E21" s="134">
        <f>SUM(E2:E20)</f>
        <v>955641556897</v>
      </c>
      <c r="F21" s="111">
        <f>SUM(F2:F20)</f>
        <v>39.390000000000008</v>
      </c>
      <c r="G21" s="101">
        <f>SUM(G2:G20)</f>
        <v>31044</v>
      </c>
      <c r="H21" s="101">
        <f>SUM(H2:H20)</f>
        <v>40</v>
      </c>
      <c r="I21" s="101">
        <f t="shared" ref="I21:Y21" si="0">SUM(I2:I20)</f>
        <v>65</v>
      </c>
      <c r="J21" s="101">
        <f t="shared" si="0"/>
        <v>75</v>
      </c>
      <c r="K21" s="101">
        <f t="shared" si="0"/>
        <v>10</v>
      </c>
      <c r="L21" s="101">
        <f t="shared" si="0"/>
        <v>0</v>
      </c>
      <c r="M21" s="101">
        <f t="shared" si="0"/>
        <v>0</v>
      </c>
      <c r="N21" s="101">
        <f t="shared" si="0"/>
        <v>0</v>
      </c>
      <c r="O21" s="101">
        <f t="shared" si="0"/>
        <v>0</v>
      </c>
      <c r="P21" s="101">
        <f t="shared" si="0"/>
        <v>0</v>
      </c>
      <c r="Q21" s="101">
        <f t="shared" si="0"/>
        <v>0</v>
      </c>
      <c r="R21" s="101">
        <f t="shared" si="0"/>
        <v>0</v>
      </c>
      <c r="S21" s="101">
        <f t="shared" si="0"/>
        <v>0</v>
      </c>
      <c r="T21" s="101">
        <f t="shared" si="0"/>
        <v>0</v>
      </c>
      <c r="U21" s="101">
        <f t="shared" si="0"/>
        <v>0</v>
      </c>
      <c r="V21" s="101">
        <f t="shared" si="0"/>
        <v>0</v>
      </c>
      <c r="W21" s="101">
        <f t="shared" si="0"/>
        <v>0</v>
      </c>
      <c r="X21" s="101">
        <f t="shared" si="0"/>
        <v>0</v>
      </c>
      <c r="Y21" s="101">
        <f t="shared" si="0"/>
        <v>0</v>
      </c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2"/>
    </row>
    <row r="22" spans="1:50" s="123" customFormat="1">
      <c r="E22" s="124"/>
      <c r="F22" s="125"/>
      <c r="G22" s="125"/>
    </row>
    <row r="23" spans="1:50" s="123" customFormat="1">
      <c r="E23" s="124"/>
      <c r="F23" s="125"/>
      <c r="G23" s="125"/>
    </row>
    <row r="24" spans="1:50" s="123" customFormat="1">
      <c r="E24" s="124"/>
      <c r="F24" s="125"/>
      <c r="G24" s="125"/>
    </row>
    <row r="25" spans="1:50" s="123" customFormat="1">
      <c r="E25" s="124"/>
      <c r="F25" s="125"/>
      <c r="G25" s="125"/>
    </row>
    <row r="26" spans="1:50" s="123" customFormat="1">
      <c r="E26" s="124"/>
      <c r="F26" s="125"/>
      <c r="G26" s="125"/>
    </row>
    <row r="27" spans="1:50" s="123" customFormat="1">
      <c r="E27" s="124"/>
      <c r="F27" s="125"/>
      <c r="G27" s="125"/>
    </row>
    <row r="28" spans="1:50" s="123" customFormat="1">
      <c r="E28" s="124"/>
      <c r="F28" s="125"/>
      <c r="G28" s="125"/>
    </row>
    <row r="29" spans="1:50" s="123" customFormat="1">
      <c r="E29" s="124"/>
      <c r="F29" s="125"/>
      <c r="G29" s="125"/>
    </row>
    <row r="30" spans="1:50" s="123" customFormat="1">
      <c r="E30" s="124"/>
      <c r="F30" s="125"/>
      <c r="G30" s="125"/>
    </row>
    <row r="31" spans="1:50" s="123" customFormat="1">
      <c r="E31" s="124"/>
      <c r="F31" s="125"/>
      <c r="G31" s="125"/>
    </row>
    <row r="32" spans="1:50" s="123" customFormat="1">
      <c r="E32" s="124"/>
      <c r="F32" s="125"/>
      <c r="G32" s="125"/>
    </row>
    <row r="33" spans="5:7" s="123" customFormat="1">
      <c r="E33" s="124"/>
      <c r="F33" s="125"/>
      <c r="G33" s="125"/>
    </row>
    <row r="34" spans="5:7" s="123" customFormat="1">
      <c r="E34" s="124"/>
      <c r="F34" s="125"/>
      <c r="G34" s="125"/>
    </row>
    <row r="35" spans="5:7" s="123" customFormat="1">
      <c r="E35" s="124"/>
      <c r="F35" s="125"/>
      <c r="G35" s="125"/>
    </row>
    <row r="36" spans="5:7" s="123" customFormat="1">
      <c r="E36" s="124"/>
      <c r="F36" s="125"/>
      <c r="G36" s="125"/>
    </row>
    <row r="37" spans="5:7" s="123" customFormat="1">
      <c r="E37" s="124"/>
      <c r="F37" s="125"/>
      <c r="G37" s="125"/>
    </row>
    <row r="38" spans="5:7" s="123" customFormat="1">
      <c r="E38" s="124"/>
      <c r="F38" s="125"/>
      <c r="G38" s="125"/>
    </row>
    <row r="39" spans="5:7" s="123" customFormat="1">
      <c r="E39" s="124"/>
      <c r="F39" s="125"/>
      <c r="G39" s="125"/>
    </row>
    <row r="40" spans="5:7" s="123" customFormat="1">
      <c r="E40" s="124"/>
      <c r="F40" s="125"/>
      <c r="G40" s="125"/>
    </row>
    <row r="41" spans="5:7" s="123" customFormat="1">
      <c r="E41" s="124"/>
      <c r="F41" s="125"/>
      <c r="G41" s="125"/>
    </row>
    <row r="42" spans="5:7" s="123" customFormat="1">
      <c r="E42" s="124"/>
      <c r="F42" s="125"/>
      <c r="G42" s="125"/>
    </row>
    <row r="43" spans="5:7" s="123" customFormat="1">
      <c r="E43" s="124"/>
      <c r="F43" s="125"/>
      <c r="G43" s="125"/>
    </row>
    <row r="44" spans="5:7" s="123" customFormat="1">
      <c r="E44" s="124"/>
      <c r="F44" s="125"/>
      <c r="G44" s="125"/>
    </row>
    <row r="45" spans="5:7" s="123" customFormat="1">
      <c r="E45" s="124"/>
      <c r="F45" s="125"/>
      <c r="G45" s="125"/>
    </row>
    <row r="46" spans="5:7" s="123" customFormat="1">
      <c r="E46" s="124"/>
      <c r="F46" s="125"/>
      <c r="G46" s="125"/>
    </row>
    <row r="47" spans="5:7" s="123" customFormat="1">
      <c r="E47" s="124"/>
      <c r="F47" s="125"/>
      <c r="G47" s="125"/>
    </row>
    <row r="48" spans="5:7" s="123" customFormat="1">
      <c r="E48" s="124"/>
      <c r="F48" s="125"/>
      <c r="G48" s="125"/>
    </row>
    <row r="49" spans="5:7" s="123" customFormat="1">
      <c r="E49" s="124"/>
      <c r="F49" s="125"/>
      <c r="G49" s="125"/>
    </row>
    <row r="50" spans="5:7" s="123" customFormat="1">
      <c r="E50" s="124"/>
      <c r="F50" s="125"/>
      <c r="G50" s="125"/>
    </row>
    <row r="51" spans="5:7" s="123" customFormat="1">
      <c r="E51" s="124"/>
      <c r="F51" s="125"/>
      <c r="G51" s="125"/>
    </row>
    <row r="52" spans="5:7" s="123" customFormat="1">
      <c r="E52" s="124"/>
      <c r="F52" s="125"/>
      <c r="G52" s="125"/>
    </row>
    <row r="53" spans="5:7" s="123" customFormat="1">
      <c r="E53" s="124"/>
      <c r="F53" s="125"/>
      <c r="G53" s="125"/>
    </row>
    <row r="54" spans="5:7" s="123" customFormat="1">
      <c r="E54" s="124"/>
      <c r="F54" s="125"/>
      <c r="G54" s="125"/>
    </row>
    <row r="55" spans="5:7" s="123" customFormat="1">
      <c r="E55" s="124"/>
      <c r="F55" s="125"/>
      <c r="G55" s="125"/>
    </row>
    <row r="56" spans="5:7" s="123" customFormat="1">
      <c r="E56" s="124"/>
      <c r="F56" s="125"/>
      <c r="G56" s="125"/>
    </row>
    <row r="57" spans="5:7" s="123" customFormat="1">
      <c r="E57" s="124"/>
      <c r="F57" s="125"/>
      <c r="G57" s="125"/>
    </row>
    <row r="58" spans="5:7" s="123" customFormat="1">
      <c r="E58" s="124"/>
      <c r="F58" s="125"/>
      <c r="G58" s="125"/>
    </row>
    <row r="59" spans="5:7" s="123" customFormat="1">
      <c r="E59" s="124"/>
      <c r="F59" s="125"/>
      <c r="G59" s="125"/>
    </row>
    <row r="60" spans="5:7" s="123" customFormat="1">
      <c r="E60" s="124"/>
      <c r="F60" s="125"/>
      <c r="G60" s="125"/>
    </row>
    <row r="61" spans="5:7" s="123" customFormat="1">
      <c r="E61" s="124"/>
      <c r="F61" s="125"/>
      <c r="G61" s="125"/>
    </row>
    <row r="62" spans="5:7" s="123" customFormat="1">
      <c r="E62" s="124"/>
      <c r="F62" s="125"/>
      <c r="G62" s="125"/>
    </row>
    <row r="63" spans="5:7" s="123" customFormat="1">
      <c r="E63" s="124"/>
      <c r="F63" s="125"/>
      <c r="G63" s="125"/>
    </row>
    <row r="64" spans="5:7" s="123" customFormat="1">
      <c r="E64" s="124"/>
      <c r="F64" s="125"/>
      <c r="G64" s="125"/>
    </row>
    <row r="65" spans="5:7" s="123" customFormat="1">
      <c r="E65" s="124"/>
      <c r="F65" s="125"/>
      <c r="G65" s="125"/>
    </row>
    <row r="66" spans="5:7" s="123" customFormat="1">
      <c r="E66" s="124"/>
      <c r="F66" s="125"/>
      <c r="G66" s="125"/>
    </row>
    <row r="67" spans="5:7" s="123" customFormat="1">
      <c r="E67" s="124"/>
      <c r="F67" s="125"/>
      <c r="G67" s="125"/>
    </row>
    <row r="68" spans="5:7" s="123" customFormat="1">
      <c r="E68" s="124"/>
      <c r="F68" s="125"/>
      <c r="G68" s="125"/>
    </row>
    <row r="69" spans="5:7" s="123" customFormat="1">
      <c r="E69" s="124"/>
      <c r="F69" s="125"/>
      <c r="G69" s="125"/>
    </row>
    <row r="70" spans="5:7" s="123" customFormat="1">
      <c r="E70" s="124"/>
      <c r="F70" s="125"/>
      <c r="G70" s="125"/>
    </row>
    <row r="71" spans="5:7" s="123" customFormat="1">
      <c r="E71" s="124"/>
      <c r="F71" s="125"/>
      <c r="G71" s="125"/>
    </row>
    <row r="72" spans="5:7" s="123" customFormat="1">
      <c r="E72" s="124"/>
      <c r="F72" s="125"/>
      <c r="G72" s="125"/>
    </row>
    <row r="73" spans="5:7" s="123" customFormat="1">
      <c r="E73" s="124"/>
      <c r="F73" s="125"/>
      <c r="G73" s="125"/>
    </row>
    <row r="74" spans="5:7" s="123" customFormat="1">
      <c r="E74" s="124"/>
      <c r="F74" s="125"/>
      <c r="G74" s="125"/>
    </row>
    <row r="75" spans="5:7" s="123" customFormat="1">
      <c r="E75" s="124"/>
      <c r="F75" s="125"/>
      <c r="G75" s="125"/>
    </row>
    <row r="76" spans="5:7" s="123" customFormat="1">
      <c r="E76" s="124"/>
      <c r="F76" s="125"/>
      <c r="G76" s="125"/>
    </row>
    <row r="77" spans="5:7" s="123" customFormat="1">
      <c r="E77" s="124"/>
      <c r="F77" s="125"/>
      <c r="G77" s="125"/>
    </row>
    <row r="78" spans="5:7" s="123" customFormat="1">
      <c r="E78" s="124"/>
      <c r="F78" s="125"/>
      <c r="G78" s="125"/>
    </row>
    <row r="79" spans="5:7" s="123" customFormat="1">
      <c r="E79" s="124"/>
      <c r="F79" s="125"/>
      <c r="G79" s="125"/>
    </row>
    <row r="80" spans="5:7" s="123" customFormat="1">
      <c r="E80" s="124"/>
      <c r="F80" s="125"/>
      <c r="G80" s="125"/>
    </row>
    <row r="81" spans="5:7" s="123" customFormat="1">
      <c r="E81" s="124"/>
      <c r="F81" s="125"/>
      <c r="G81" s="125"/>
    </row>
    <row r="82" spans="5:7" s="123" customFormat="1">
      <c r="E82" s="124"/>
      <c r="F82" s="125"/>
      <c r="G82" s="125"/>
    </row>
    <row r="83" spans="5:7" s="123" customFormat="1">
      <c r="E83" s="124"/>
      <c r="F83" s="125"/>
      <c r="G83" s="125"/>
    </row>
    <row r="84" spans="5:7" s="123" customFormat="1">
      <c r="E84" s="124"/>
      <c r="F84" s="125"/>
      <c r="G84" s="125"/>
    </row>
    <row r="85" spans="5:7" s="123" customFormat="1">
      <c r="E85" s="124"/>
      <c r="F85" s="125"/>
      <c r="G85" s="125"/>
    </row>
    <row r="86" spans="5:7" s="123" customFormat="1">
      <c r="E86" s="124"/>
      <c r="F86" s="125"/>
      <c r="G86" s="125"/>
    </row>
    <row r="87" spans="5:7" s="123" customFormat="1">
      <c r="E87" s="124"/>
      <c r="F87" s="125"/>
      <c r="G87" s="125"/>
    </row>
    <row r="88" spans="5:7" s="123" customFormat="1">
      <c r="E88" s="124"/>
      <c r="F88" s="125"/>
      <c r="G88" s="125"/>
    </row>
    <row r="89" spans="5:7" s="123" customFormat="1">
      <c r="E89" s="124"/>
      <c r="F89" s="125"/>
      <c r="G89" s="125"/>
    </row>
    <row r="90" spans="5:7" s="123" customFormat="1">
      <c r="E90" s="124"/>
      <c r="F90" s="125"/>
      <c r="G90" s="125"/>
    </row>
    <row r="91" spans="5:7" s="123" customFormat="1">
      <c r="E91" s="124"/>
      <c r="F91" s="125"/>
      <c r="G91" s="125"/>
    </row>
    <row r="92" spans="5:7" s="123" customFormat="1">
      <c r="E92" s="124"/>
      <c r="F92" s="125"/>
      <c r="G92" s="125"/>
    </row>
    <row r="93" spans="5:7" s="123" customFormat="1">
      <c r="E93" s="124"/>
      <c r="F93" s="125"/>
      <c r="G93" s="125"/>
    </row>
    <row r="94" spans="5:7" s="123" customFormat="1">
      <c r="E94" s="124"/>
      <c r="F94" s="125"/>
      <c r="G94" s="125"/>
    </row>
    <row r="95" spans="5:7" s="123" customFormat="1">
      <c r="E95" s="124"/>
      <c r="F95" s="125"/>
      <c r="G95" s="125"/>
    </row>
    <row r="96" spans="5:7" s="123" customFormat="1">
      <c r="E96" s="124"/>
      <c r="F96" s="125"/>
      <c r="G96" s="125"/>
    </row>
    <row r="97" spans="5:7" s="123" customFormat="1">
      <c r="E97" s="124"/>
      <c r="F97" s="125"/>
      <c r="G97" s="125"/>
    </row>
    <row r="98" spans="5:7" s="123" customFormat="1">
      <c r="E98" s="124"/>
      <c r="F98" s="125"/>
      <c r="G98" s="125"/>
    </row>
    <row r="99" spans="5:7" s="123" customFormat="1">
      <c r="E99" s="124"/>
      <c r="F99" s="125"/>
      <c r="G99" s="125"/>
    </row>
    <row r="100" spans="5:7" s="123" customFormat="1">
      <c r="E100" s="124"/>
      <c r="F100" s="125"/>
      <c r="G100" s="125"/>
    </row>
    <row r="101" spans="5:7" s="123" customFormat="1">
      <c r="E101" s="124"/>
      <c r="F101" s="125"/>
      <c r="G101" s="125"/>
    </row>
    <row r="102" spans="5:7" s="123" customFormat="1">
      <c r="E102" s="124"/>
      <c r="F102" s="125"/>
      <c r="G102" s="125"/>
    </row>
    <row r="103" spans="5:7" s="123" customFormat="1">
      <c r="E103" s="124"/>
      <c r="F103" s="125"/>
      <c r="G103" s="125"/>
    </row>
    <row r="104" spans="5:7" s="123" customFormat="1">
      <c r="E104" s="124"/>
      <c r="F104" s="125"/>
      <c r="G104" s="125"/>
    </row>
    <row r="105" spans="5:7" s="123" customFormat="1">
      <c r="E105" s="124"/>
      <c r="F105" s="125"/>
      <c r="G105" s="125"/>
    </row>
    <row r="106" spans="5:7" s="123" customFormat="1">
      <c r="E106" s="124"/>
      <c r="F106" s="125"/>
      <c r="G106" s="125"/>
    </row>
    <row r="107" spans="5:7" s="123" customFormat="1">
      <c r="E107" s="124"/>
      <c r="F107" s="125"/>
      <c r="G107" s="125"/>
    </row>
    <row r="108" spans="5:7" s="123" customFormat="1">
      <c r="E108" s="124"/>
      <c r="F108" s="125"/>
      <c r="G108" s="125"/>
    </row>
    <row r="109" spans="5:7" s="123" customFormat="1">
      <c r="E109" s="124"/>
      <c r="F109" s="125"/>
      <c r="G109" s="125"/>
    </row>
    <row r="110" spans="5:7" s="123" customFormat="1">
      <c r="E110" s="124"/>
      <c r="F110" s="125"/>
      <c r="G110" s="125"/>
    </row>
    <row r="111" spans="5:7" s="123" customFormat="1">
      <c r="E111" s="124"/>
      <c r="F111" s="125"/>
      <c r="G111" s="125"/>
    </row>
    <row r="112" spans="5:7" s="123" customFormat="1">
      <c r="E112" s="124"/>
      <c r="F112" s="125"/>
      <c r="G112" s="125"/>
    </row>
    <row r="113" spans="5:7" s="123" customFormat="1">
      <c r="E113" s="124"/>
      <c r="F113" s="125"/>
      <c r="G113" s="125"/>
    </row>
    <row r="114" spans="5:7" s="123" customFormat="1">
      <c r="E114" s="124"/>
      <c r="F114" s="125"/>
      <c r="G114" s="125"/>
    </row>
    <row r="115" spans="5:7" s="123" customFormat="1">
      <c r="E115" s="124"/>
      <c r="F115" s="125"/>
      <c r="G115" s="125"/>
    </row>
    <row r="116" spans="5:7" s="123" customFormat="1">
      <c r="E116" s="124"/>
      <c r="F116" s="125"/>
      <c r="G116" s="125"/>
    </row>
    <row r="117" spans="5:7" s="123" customFormat="1">
      <c r="E117" s="124"/>
      <c r="F117" s="125"/>
      <c r="G117" s="125"/>
    </row>
    <row r="118" spans="5:7" s="123" customFormat="1">
      <c r="E118" s="124"/>
      <c r="F118" s="125"/>
      <c r="G118" s="125"/>
    </row>
    <row r="119" spans="5:7" s="123" customFormat="1">
      <c r="E119" s="124"/>
      <c r="F119" s="125"/>
      <c r="G119" s="125"/>
    </row>
    <row r="120" spans="5:7" s="123" customFormat="1">
      <c r="E120" s="124"/>
      <c r="F120" s="125"/>
      <c r="G120" s="125"/>
    </row>
    <row r="121" spans="5:7" s="123" customFormat="1">
      <c r="E121" s="124"/>
      <c r="F121" s="125"/>
      <c r="G121" s="125"/>
    </row>
    <row r="122" spans="5:7" s="123" customFormat="1">
      <c r="E122" s="124"/>
      <c r="F122" s="125"/>
      <c r="G122" s="125"/>
    </row>
    <row r="123" spans="5:7" s="123" customFormat="1">
      <c r="E123" s="124"/>
      <c r="F123" s="125"/>
      <c r="G123" s="125"/>
    </row>
    <row r="124" spans="5:7" s="123" customFormat="1">
      <c r="E124" s="124"/>
      <c r="F124" s="125"/>
      <c r="G124" s="125"/>
    </row>
    <row r="125" spans="5:7" s="123" customFormat="1">
      <c r="E125" s="124"/>
      <c r="F125" s="125"/>
      <c r="G125" s="125"/>
    </row>
    <row r="126" spans="5:7" s="123" customFormat="1">
      <c r="E126" s="124"/>
      <c r="F126" s="125"/>
      <c r="G126" s="125"/>
    </row>
    <row r="127" spans="5:7" s="123" customFormat="1">
      <c r="E127" s="124"/>
      <c r="F127" s="125"/>
      <c r="G127" s="125"/>
    </row>
    <row r="128" spans="5:7" s="123" customFormat="1">
      <c r="E128" s="124"/>
      <c r="F128" s="125"/>
      <c r="G128" s="125"/>
    </row>
    <row r="129" spans="5:7" s="123" customFormat="1">
      <c r="E129" s="124"/>
      <c r="F129" s="125"/>
      <c r="G129" s="125"/>
    </row>
    <row r="130" spans="5:7" s="123" customFormat="1">
      <c r="E130" s="124"/>
      <c r="F130" s="125"/>
      <c r="G130" s="125"/>
    </row>
    <row r="131" spans="5:7" s="123" customFormat="1">
      <c r="E131" s="124"/>
      <c r="F131" s="125"/>
      <c r="G131" s="125"/>
    </row>
    <row r="132" spans="5:7" s="123" customFormat="1">
      <c r="E132" s="124"/>
      <c r="F132" s="125"/>
      <c r="G132" s="125"/>
    </row>
    <row r="133" spans="5:7" s="123" customFormat="1">
      <c r="E133" s="124"/>
      <c r="F133" s="125"/>
      <c r="G133" s="125"/>
    </row>
    <row r="134" spans="5:7" s="123" customFormat="1">
      <c r="E134" s="124"/>
      <c r="F134" s="125"/>
      <c r="G134" s="125"/>
    </row>
    <row r="135" spans="5:7" s="123" customFormat="1">
      <c r="E135" s="124"/>
      <c r="F135" s="125"/>
      <c r="G135" s="125"/>
    </row>
    <row r="136" spans="5:7" s="123" customFormat="1">
      <c r="E136" s="124"/>
      <c r="F136" s="125"/>
      <c r="G136" s="125"/>
    </row>
    <row r="137" spans="5:7" s="123" customFormat="1">
      <c r="E137" s="124"/>
      <c r="F137" s="125"/>
      <c r="G137" s="125"/>
    </row>
    <row r="138" spans="5:7" s="123" customFormat="1">
      <c r="E138" s="124"/>
      <c r="F138" s="125"/>
      <c r="G138" s="125"/>
    </row>
    <row r="139" spans="5:7" s="123" customFormat="1">
      <c r="E139" s="124"/>
      <c r="F139" s="125"/>
      <c r="G139" s="125"/>
    </row>
    <row r="140" spans="5:7" s="123" customFormat="1">
      <c r="E140" s="124"/>
      <c r="F140" s="125"/>
      <c r="G140" s="125"/>
    </row>
    <row r="141" spans="5:7" s="123" customFormat="1">
      <c r="E141" s="124"/>
      <c r="F141" s="125"/>
      <c r="G141" s="125"/>
    </row>
    <row r="142" spans="5:7" s="123" customFormat="1">
      <c r="E142" s="124"/>
      <c r="F142" s="125"/>
      <c r="G142" s="125"/>
    </row>
    <row r="143" spans="5:7" s="123" customFormat="1">
      <c r="E143" s="124"/>
      <c r="F143" s="125"/>
      <c r="G143" s="125"/>
    </row>
    <row r="144" spans="5:7" s="123" customFormat="1">
      <c r="E144" s="124"/>
      <c r="F144" s="125"/>
      <c r="G144" s="125"/>
    </row>
    <row r="145" spans="5:7" s="123" customFormat="1">
      <c r="E145" s="124"/>
      <c r="F145" s="125"/>
      <c r="G145" s="125"/>
    </row>
    <row r="146" spans="5:7" s="123" customFormat="1">
      <c r="E146" s="124"/>
      <c r="F146" s="125"/>
      <c r="G146" s="125"/>
    </row>
    <row r="147" spans="5:7" s="123" customFormat="1">
      <c r="E147" s="124"/>
      <c r="F147" s="125"/>
      <c r="G147" s="125"/>
    </row>
    <row r="148" spans="5:7" s="123" customFormat="1">
      <c r="E148" s="124"/>
      <c r="F148" s="125"/>
      <c r="G148" s="125"/>
    </row>
    <row r="149" spans="5:7" s="123" customFormat="1">
      <c r="E149" s="124"/>
      <c r="F149" s="125"/>
      <c r="G149" s="125"/>
    </row>
    <row r="150" spans="5:7" s="123" customFormat="1">
      <c r="E150" s="124"/>
      <c r="F150" s="125"/>
      <c r="G150" s="125"/>
    </row>
    <row r="151" spans="5:7" s="123" customFormat="1">
      <c r="E151" s="124"/>
      <c r="F151" s="125"/>
      <c r="G151" s="125"/>
    </row>
    <row r="152" spans="5:7" s="123" customFormat="1">
      <c r="E152" s="124"/>
      <c r="F152" s="125"/>
      <c r="G152" s="125"/>
    </row>
    <row r="153" spans="5:7" s="123" customFormat="1">
      <c r="E153" s="124"/>
      <c r="F153" s="125"/>
      <c r="G153" s="125"/>
    </row>
    <row r="154" spans="5:7" s="123" customFormat="1">
      <c r="E154" s="124"/>
      <c r="F154" s="125"/>
      <c r="G154" s="125"/>
    </row>
    <row r="155" spans="5:7" s="123" customFormat="1">
      <c r="E155" s="124"/>
      <c r="F155" s="125"/>
      <c r="G155" s="125"/>
    </row>
    <row r="156" spans="5:7" s="123" customFormat="1">
      <c r="E156" s="124"/>
      <c r="F156" s="125"/>
      <c r="G156" s="125"/>
    </row>
    <row r="157" spans="5:7" s="123" customFormat="1">
      <c r="E157" s="124"/>
      <c r="F157" s="125"/>
      <c r="G157" s="125"/>
    </row>
    <row r="158" spans="5:7" s="123" customFormat="1">
      <c r="E158" s="124"/>
      <c r="F158" s="125"/>
      <c r="G158" s="125"/>
    </row>
    <row r="159" spans="5:7" s="123" customFormat="1">
      <c r="E159" s="124"/>
      <c r="F159" s="125"/>
      <c r="G159" s="125"/>
    </row>
    <row r="160" spans="5:7" s="123" customFormat="1">
      <c r="E160" s="124"/>
      <c r="F160" s="125"/>
      <c r="G160" s="125"/>
    </row>
    <row r="161" spans="5:7" s="123" customFormat="1">
      <c r="E161" s="124"/>
      <c r="F161" s="125"/>
      <c r="G161" s="125"/>
    </row>
    <row r="162" spans="5:7" s="123" customFormat="1">
      <c r="E162" s="124"/>
      <c r="F162" s="125"/>
      <c r="G162" s="125"/>
    </row>
    <row r="163" spans="5:7" s="123" customFormat="1">
      <c r="E163" s="124"/>
      <c r="F163" s="125"/>
      <c r="G163" s="125"/>
    </row>
    <row r="164" spans="5:7" s="123" customFormat="1">
      <c r="E164" s="124"/>
      <c r="F164" s="125"/>
      <c r="G164" s="125"/>
    </row>
    <row r="165" spans="5:7" s="123" customFormat="1">
      <c r="E165" s="124"/>
      <c r="F165" s="125"/>
      <c r="G165" s="125"/>
    </row>
    <row r="166" spans="5:7" s="123" customFormat="1">
      <c r="E166" s="124"/>
      <c r="F166" s="125"/>
      <c r="G166" s="125"/>
    </row>
    <row r="167" spans="5:7" s="123" customFormat="1">
      <c r="E167" s="124"/>
      <c r="F167" s="125"/>
      <c r="G167" s="125"/>
    </row>
    <row r="168" spans="5:7" s="123" customFormat="1">
      <c r="E168" s="124"/>
      <c r="F168" s="125"/>
      <c r="G168" s="125"/>
    </row>
    <row r="169" spans="5:7" s="123" customFormat="1">
      <c r="E169" s="124"/>
      <c r="F169" s="125"/>
      <c r="G169" s="125"/>
    </row>
    <row r="170" spans="5:7" s="123" customFormat="1">
      <c r="E170" s="124"/>
      <c r="F170" s="125"/>
      <c r="G170" s="125"/>
    </row>
    <row r="171" spans="5:7" s="123" customFormat="1">
      <c r="E171" s="124"/>
      <c r="F171" s="125"/>
      <c r="G171" s="125"/>
    </row>
    <row r="172" spans="5:7" s="123" customFormat="1">
      <c r="E172" s="124"/>
      <c r="F172" s="125"/>
      <c r="G172" s="125"/>
    </row>
    <row r="173" spans="5:7" s="123" customFormat="1">
      <c r="E173" s="124"/>
      <c r="F173" s="125"/>
      <c r="G173" s="125"/>
    </row>
    <row r="174" spans="5:7" s="123" customFormat="1">
      <c r="E174" s="124"/>
      <c r="F174" s="125"/>
      <c r="G174" s="125"/>
    </row>
    <row r="175" spans="5:7" s="123" customFormat="1">
      <c r="E175" s="124"/>
      <c r="F175" s="125"/>
      <c r="G175" s="125"/>
    </row>
    <row r="176" spans="5:7" s="123" customFormat="1">
      <c r="E176" s="124"/>
      <c r="F176" s="125"/>
      <c r="G176" s="125"/>
    </row>
    <row r="177" spans="5:7" s="123" customFormat="1">
      <c r="E177" s="124"/>
      <c r="F177" s="125"/>
      <c r="G177" s="125"/>
    </row>
    <row r="178" spans="5:7" s="123" customFormat="1">
      <c r="E178" s="124"/>
      <c r="F178" s="125"/>
      <c r="G178" s="125"/>
    </row>
    <row r="179" spans="5:7" s="123" customFormat="1">
      <c r="E179" s="124"/>
      <c r="F179" s="125"/>
      <c r="G179" s="125"/>
    </row>
    <row r="180" spans="5:7" s="123" customFormat="1">
      <c r="E180" s="124"/>
      <c r="F180" s="125"/>
      <c r="G180" s="125"/>
    </row>
    <row r="181" spans="5:7" s="123" customFormat="1">
      <c r="E181" s="124"/>
      <c r="F181" s="125"/>
      <c r="G181" s="125"/>
    </row>
    <row r="182" spans="5:7" s="123" customFormat="1">
      <c r="E182" s="124"/>
      <c r="F182" s="125"/>
      <c r="G182" s="125"/>
    </row>
    <row r="183" spans="5:7" s="123" customFormat="1">
      <c r="E183" s="124"/>
      <c r="F183" s="125"/>
      <c r="G183" s="125"/>
    </row>
    <row r="184" spans="5:7" s="123" customFormat="1">
      <c r="E184" s="124"/>
      <c r="F184" s="125"/>
      <c r="G184" s="125"/>
    </row>
    <row r="185" spans="5:7" s="123" customFormat="1">
      <c r="E185" s="124"/>
      <c r="F185" s="125"/>
      <c r="G185" s="125"/>
    </row>
    <row r="186" spans="5:7" s="123" customFormat="1">
      <c r="E186" s="124"/>
      <c r="F186" s="125"/>
      <c r="G186" s="125"/>
    </row>
    <row r="187" spans="5:7" s="123" customFormat="1">
      <c r="E187" s="124"/>
      <c r="F187" s="125"/>
      <c r="G187" s="125"/>
    </row>
    <row r="188" spans="5:7" s="123" customFormat="1">
      <c r="E188" s="124"/>
      <c r="F188" s="125"/>
      <c r="G188" s="125"/>
    </row>
    <row r="189" spans="5:7" s="123" customFormat="1">
      <c r="E189" s="124"/>
      <c r="F189" s="125"/>
      <c r="G189" s="125"/>
    </row>
    <row r="190" spans="5:7" s="123" customFormat="1">
      <c r="E190" s="124"/>
      <c r="F190" s="125"/>
      <c r="G190" s="125"/>
    </row>
    <row r="191" spans="5:7" s="123" customFormat="1">
      <c r="E191" s="124"/>
      <c r="F191" s="125"/>
      <c r="G191" s="125"/>
    </row>
    <row r="192" spans="5:7" s="123" customFormat="1">
      <c r="E192" s="124"/>
      <c r="F192" s="125"/>
      <c r="G192" s="125"/>
    </row>
    <row r="193" spans="5:7" s="123" customFormat="1">
      <c r="E193" s="124"/>
      <c r="F193" s="125"/>
      <c r="G193" s="125"/>
    </row>
    <row r="194" spans="5:7" s="123" customFormat="1">
      <c r="E194" s="124"/>
      <c r="F194" s="125"/>
      <c r="G194" s="125"/>
    </row>
    <row r="195" spans="5:7" s="123" customFormat="1">
      <c r="E195" s="124"/>
      <c r="F195" s="125"/>
      <c r="G195" s="125"/>
    </row>
    <row r="196" spans="5:7" s="123" customFormat="1">
      <c r="E196" s="124"/>
      <c r="F196" s="125"/>
      <c r="G196" s="125"/>
    </row>
    <row r="197" spans="5:7" s="123" customFormat="1">
      <c r="E197" s="124"/>
      <c r="F197" s="125"/>
      <c r="G197" s="125"/>
    </row>
    <row r="198" spans="5:7" s="123" customFormat="1">
      <c r="E198" s="124"/>
      <c r="F198" s="125"/>
      <c r="G198" s="125"/>
    </row>
    <row r="199" spans="5:7" s="123" customFormat="1">
      <c r="E199" s="124"/>
      <c r="F199" s="125"/>
      <c r="G199" s="125"/>
    </row>
    <row r="200" spans="5:7" s="123" customFormat="1">
      <c r="E200" s="124"/>
      <c r="F200" s="125"/>
      <c r="G200" s="125"/>
    </row>
    <row r="201" spans="5:7" s="123" customFormat="1">
      <c r="E201" s="124"/>
      <c r="F201" s="125"/>
      <c r="G201" s="125"/>
    </row>
    <row r="202" spans="5:7" s="123" customFormat="1">
      <c r="E202" s="124"/>
      <c r="F202" s="125"/>
      <c r="G202" s="125"/>
    </row>
    <row r="203" spans="5:7" s="123" customFormat="1">
      <c r="E203" s="124"/>
      <c r="F203" s="125"/>
      <c r="G203" s="125"/>
    </row>
    <row r="204" spans="5:7" s="123" customFormat="1">
      <c r="E204" s="124"/>
      <c r="F204" s="125"/>
      <c r="G204" s="125"/>
    </row>
    <row r="205" spans="5:7" s="123" customFormat="1">
      <c r="E205" s="124"/>
      <c r="F205" s="125"/>
      <c r="G205" s="125"/>
    </row>
    <row r="206" spans="5:7" s="123" customFormat="1">
      <c r="E206" s="124"/>
      <c r="F206" s="125"/>
      <c r="G206" s="125"/>
    </row>
    <row r="207" spans="5:7" s="123" customFormat="1">
      <c r="E207" s="124"/>
      <c r="F207" s="125"/>
      <c r="G207" s="125"/>
    </row>
    <row r="208" spans="5:7" s="123" customFormat="1">
      <c r="E208" s="124"/>
      <c r="F208" s="125"/>
      <c r="G208" s="125"/>
    </row>
    <row r="209" spans="5:7" s="123" customFormat="1">
      <c r="E209" s="124"/>
      <c r="F209" s="125"/>
      <c r="G209" s="125"/>
    </row>
    <row r="210" spans="5:7" s="123" customFormat="1">
      <c r="E210" s="124"/>
      <c r="F210" s="125"/>
      <c r="G210" s="125"/>
    </row>
    <row r="211" spans="5:7" s="123" customFormat="1">
      <c r="E211" s="124"/>
      <c r="F211" s="125"/>
      <c r="G211" s="125"/>
    </row>
    <row r="212" spans="5:7" s="123" customFormat="1">
      <c r="E212" s="124"/>
      <c r="F212" s="125"/>
      <c r="G212" s="125"/>
    </row>
    <row r="213" spans="5:7" s="123" customFormat="1">
      <c r="E213" s="124"/>
      <c r="F213" s="125"/>
      <c r="G213" s="125"/>
    </row>
    <row r="214" spans="5:7" s="123" customFormat="1">
      <c r="E214" s="124"/>
      <c r="F214" s="125"/>
      <c r="G214" s="125"/>
    </row>
    <row r="215" spans="5:7" s="123" customFormat="1">
      <c r="E215" s="124"/>
      <c r="F215" s="125"/>
      <c r="G215" s="125"/>
    </row>
    <row r="216" spans="5:7" s="123" customFormat="1">
      <c r="E216" s="124"/>
      <c r="F216" s="125"/>
      <c r="G216" s="125"/>
    </row>
    <row r="217" spans="5:7" s="123" customFormat="1">
      <c r="E217" s="124"/>
      <c r="F217" s="125"/>
      <c r="G217" s="125"/>
    </row>
    <row r="218" spans="5:7" s="123" customFormat="1">
      <c r="E218" s="124"/>
      <c r="F218" s="125"/>
      <c r="G218" s="125"/>
    </row>
    <row r="219" spans="5:7" s="123" customFormat="1">
      <c r="E219" s="124"/>
      <c r="F219" s="125"/>
      <c r="G219" s="125"/>
    </row>
    <row r="220" spans="5:7" s="123" customFormat="1">
      <c r="E220" s="124"/>
      <c r="F220" s="125"/>
      <c r="G220" s="125"/>
    </row>
    <row r="221" spans="5:7" s="123" customFormat="1">
      <c r="E221" s="124"/>
      <c r="F221" s="125"/>
      <c r="G221" s="125"/>
    </row>
    <row r="222" spans="5:7" s="123" customFormat="1">
      <c r="E222" s="124"/>
      <c r="F222" s="125"/>
      <c r="G222" s="125"/>
    </row>
    <row r="223" spans="5:7" s="123" customFormat="1">
      <c r="E223" s="124"/>
      <c r="F223" s="125"/>
      <c r="G223" s="125"/>
    </row>
    <row r="224" spans="5:7" s="123" customFormat="1">
      <c r="E224" s="124"/>
      <c r="F224" s="125"/>
      <c r="G224" s="125"/>
    </row>
    <row r="225" spans="5:7" s="123" customFormat="1">
      <c r="E225" s="124"/>
      <c r="F225" s="125"/>
      <c r="G225" s="125"/>
    </row>
    <row r="226" spans="5:7" s="123" customFormat="1">
      <c r="E226" s="124"/>
      <c r="F226" s="125"/>
      <c r="G226" s="125"/>
    </row>
    <row r="227" spans="5:7" s="123" customFormat="1">
      <c r="E227" s="124"/>
      <c r="F227" s="125"/>
      <c r="G227" s="125"/>
    </row>
    <row r="228" spans="5:7" s="123" customFormat="1">
      <c r="E228" s="124"/>
      <c r="F228" s="125"/>
      <c r="G228" s="125"/>
    </row>
    <row r="229" spans="5:7" s="123" customFormat="1">
      <c r="E229" s="124"/>
      <c r="F229" s="125"/>
      <c r="G229" s="125"/>
    </row>
    <row r="230" spans="5:7" s="123" customFormat="1">
      <c r="E230" s="124"/>
      <c r="F230" s="125"/>
      <c r="G230" s="125"/>
    </row>
    <row r="231" spans="5:7" s="123" customFormat="1">
      <c r="E231" s="124"/>
      <c r="F231" s="125"/>
      <c r="G231" s="125"/>
    </row>
    <row r="232" spans="5:7" s="123" customFormat="1">
      <c r="E232" s="124"/>
      <c r="F232" s="125"/>
      <c r="G232" s="125"/>
    </row>
    <row r="233" spans="5:7" s="123" customFormat="1">
      <c r="E233" s="124"/>
      <c r="F233" s="125"/>
      <c r="G233" s="125"/>
    </row>
    <row r="234" spans="5:7" s="123" customFormat="1">
      <c r="E234" s="124"/>
      <c r="F234" s="125"/>
      <c r="G234" s="125"/>
    </row>
    <row r="235" spans="5:7" s="123" customFormat="1">
      <c r="E235" s="124"/>
      <c r="F235" s="125"/>
      <c r="G235" s="125"/>
    </row>
    <row r="236" spans="5:7" s="123" customFormat="1">
      <c r="E236" s="124"/>
      <c r="F236" s="125"/>
      <c r="G236" s="125"/>
    </row>
    <row r="237" spans="5:7" s="123" customFormat="1">
      <c r="E237" s="124"/>
      <c r="F237" s="125"/>
      <c r="G237" s="125"/>
    </row>
    <row r="238" spans="5:7" s="123" customFormat="1">
      <c r="E238" s="124"/>
      <c r="F238" s="125"/>
      <c r="G238" s="125"/>
    </row>
    <row r="239" spans="5:7" s="123" customFormat="1">
      <c r="E239" s="124"/>
      <c r="F239" s="125"/>
      <c r="G239" s="125"/>
    </row>
    <row r="240" spans="5:7" s="123" customFormat="1">
      <c r="E240" s="124"/>
      <c r="F240" s="125"/>
      <c r="G240" s="125"/>
    </row>
    <row r="241" spans="5:7" s="123" customFormat="1">
      <c r="E241" s="124"/>
      <c r="F241" s="125"/>
      <c r="G241" s="125"/>
    </row>
    <row r="242" spans="5:7" s="123" customFormat="1">
      <c r="E242" s="124"/>
      <c r="F242" s="125"/>
      <c r="G242" s="125"/>
    </row>
    <row r="243" spans="5:7" s="123" customFormat="1">
      <c r="E243" s="124"/>
      <c r="F243" s="125"/>
      <c r="G243" s="125"/>
    </row>
    <row r="244" spans="5:7" s="123" customFormat="1">
      <c r="E244" s="124"/>
      <c r="F244" s="125"/>
      <c r="G244" s="125"/>
    </row>
    <row r="245" spans="5:7" s="123" customFormat="1">
      <c r="E245" s="124"/>
      <c r="F245" s="125"/>
      <c r="G245" s="125"/>
    </row>
    <row r="246" spans="5:7" s="123" customFormat="1">
      <c r="E246" s="124"/>
      <c r="F246" s="125"/>
      <c r="G246" s="125"/>
    </row>
    <row r="247" spans="5:7" s="123" customFormat="1">
      <c r="E247" s="124"/>
      <c r="F247" s="125"/>
      <c r="G247" s="125"/>
    </row>
    <row r="248" spans="5:7" s="123" customFormat="1">
      <c r="E248" s="124"/>
      <c r="F248" s="125"/>
      <c r="G248" s="125"/>
    </row>
    <row r="249" spans="5:7" s="123" customFormat="1">
      <c r="E249" s="124"/>
      <c r="F249" s="125"/>
      <c r="G249" s="125"/>
    </row>
    <row r="250" spans="5:7" s="123" customFormat="1">
      <c r="E250" s="124"/>
      <c r="F250" s="125"/>
      <c r="G250" s="125"/>
    </row>
    <row r="251" spans="5:7" s="123" customFormat="1">
      <c r="E251" s="124"/>
      <c r="F251" s="125"/>
      <c r="G251" s="125"/>
    </row>
    <row r="252" spans="5:7" s="123" customFormat="1">
      <c r="E252" s="124"/>
      <c r="F252" s="125"/>
      <c r="G252" s="125"/>
    </row>
    <row r="253" spans="5:7" s="123" customFormat="1">
      <c r="E253" s="124"/>
      <c r="F253" s="125"/>
      <c r="G253" s="125"/>
    </row>
    <row r="254" spans="5:7" s="123" customFormat="1">
      <c r="E254" s="124"/>
      <c r="F254" s="125"/>
      <c r="G254" s="125"/>
    </row>
    <row r="255" spans="5:7" s="123" customFormat="1">
      <c r="E255" s="124"/>
      <c r="F255" s="125"/>
      <c r="G255" s="125"/>
    </row>
    <row r="256" spans="5:7" s="123" customFormat="1">
      <c r="E256" s="124"/>
      <c r="F256" s="125"/>
      <c r="G256" s="125"/>
    </row>
    <row r="257" spans="5:7" s="123" customFormat="1">
      <c r="E257" s="124"/>
      <c r="F257" s="125"/>
      <c r="G257" s="125"/>
    </row>
    <row r="258" spans="5:7" s="123" customFormat="1">
      <c r="E258" s="124"/>
      <c r="F258" s="125"/>
      <c r="G258" s="125"/>
    </row>
    <row r="259" spans="5:7" s="123" customFormat="1">
      <c r="E259" s="124"/>
      <c r="F259" s="125"/>
      <c r="G259" s="125"/>
    </row>
    <row r="260" spans="5:7" s="123" customFormat="1">
      <c r="E260" s="124"/>
      <c r="F260" s="125"/>
      <c r="G260" s="125"/>
    </row>
    <row r="261" spans="5:7" s="123" customFormat="1">
      <c r="E261" s="124"/>
      <c r="F261" s="125"/>
      <c r="G261" s="125"/>
    </row>
    <row r="262" spans="5:7" s="123" customFormat="1">
      <c r="E262" s="124"/>
      <c r="F262" s="125"/>
      <c r="G262" s="125"/>
    </row>
    <row r="263" spans="5:7" s="123" customFormat="1">
      <c r="E263" s="124"/>
      <c r="F263" s="125"/>
      <c r="G263" s="125"/>
    </row>
    <row r="264" spans="5:7" s="123" customFormat="1">
      <c r="E264" s="124"/>
      <c r="F264" s="125"/>
      <c r="G264" s="125"/>
    </row>
    <row r="265" spans="5:7" s="123" customFormat="1">
      <c r="E265" s="124"/>
      <c r="F265" s="125"/>
      <c r="G265" s="125"/>
    </row>
    <row r="266" spans="5:7" s="123" customFormat="1">
      <c r="E266" s="124"/>
      <c r="F266" s="125"/>
      <c r="G266" s="125"/>
    </row>
    <row r="267" spans="5:7" s="123" customFormat="1">
      <c r="E267" s="124"/>
      <c r="F267" s="125"/>
      <c r="G267" s="125"/>
    </row>
    <row r="268" spans="5:7" s="123" customFormat="1">
      <c r="E268" s="124"/>
      <c r="F268" s="125"/>
      <c r="G268" s="125"/>
    </row>
    <row r="269" spans="5:7" s="123" customFormat="1">
      <c r="E269" s="124"/>
      <c r="F269" s="125"/>
      <c r="G269" s="125"/>
    </row>
    <row r="270" spans="5:7" s="123" customFormat="1">
      <c r="E270" s="124"/>
      <c r="F270" s="125"/>
      <c r="G270" s="125"/>
    </row>
    <row r="271" spans="5:7" s="123" customFormat="1">
      <c r="E271" s="124"/>
      <c r="F271" s="125"/>
      <c r="G271" s="125"/>
    </row>
    <row r="272" spans="5:7" s="123" customFormat="1">
      <c r="E272" s="124"/>
      <c r="F272" s="125"/>
      <c r="G272" s="125"/>
    </row>
    <row r="273" spans="5:7" s="123" customFormat="1">
      <c r="E273" s="124"/>
      <c r="F273" s="125"/>
      <c r="G273" s="125"/>
    </row>
    <row r="274" spans="5:7" s="123" customFormat="1">
      <c r="E274" s="124"/>
      <c r="F274" s="125"/>
      <c r="G274" s="125"/>
    </row>
    <row r="275" spans="5:7" s="123" customFormat="1">
      <c r="E275" s="124"/>
      <c r="F275" s="125"/>
      <c r="G275" s="125"/>
    </row>
    <row r="276" spans="5:7" s="123" customFormat="1">
      <c r="E276" s="124"/>
      <c r="F276" s="125"/>
      <c r="G276" s="125"/>
    </row>
    <row r="277" spans="5:7" s="123" customFormat="1">
      <c r="E277" s="124"/>
      <c r="F277" s="125"/>
      <c r="G277" s="125"/>
    </row>
    <row r="278" spans="5:7" s="123" customFormat="1">
      <c r="E278" s="124"/>
      <c r="F278" s="125"/>
      <c r="G278" s="125"/>
    </row>
    <row r="279" spans="5:7" s="123" customFormat="1">
      <c r="E279" s="124"/>
      <c r="F279" s="125"/>
      <c r="G279" s="125"/>
    </row>
    <row r="280" spans="5:7" s="123" customFormat="1">
      <c r="E280" s="124"/>
      <c r="F280" s="125"/>
      <c r="G280" s="125"/>
    </row>
    <row r="281" spans="5:7" s="123" customFormat="1">
      <c r="E281" s="124"/>
      <c r="F281" s="125"/>
      <c r="G281" s="125"/>
    </row>
    <row r="282" spans="5:7" s="123" customFormat="1">
      <c r="E282" s="124"/>
      <c r="F282" s="125"/>
      <c r="G282" s="125"/>
    </row>
    <row r="283" spans="5:7" s="123" customFormat="1">
      <c r="E283" s="124"/>
      <c r="F283" s="125"/>
      <c r="G283" s="125"/>
    </row>
    <row r="284" spans="5:7" s="123" customFormat="1">
      <c r="E284" s="124"/>
      <c r="F284" s="125"/>
      <c r="G284" s="125"/>
    </row>
    <row r="285" spans="5:7" s="123" customFormat="1">
      <c r="E285" s="124"/>
      <c r="F285" s="125"/>
      <c r="G285" s="125"/>
    </row>
    <row r="286" spans="5:7" s="123" customFormat="1">
      <c r="E286" s="124"/>
      <c r="F286" s="125"/>
      <c r="G286" s="125"/>
    </row>
    <row r="287" spans="5:7" s="123" customFormat="1">
      <c r="E287" s="124"/>
      <c r="F287" s="125"/>
      <c r="G287" s="125"/>
    </row>
    <row r="288" spans="5:7" s="123" customFormat="1">
      <c r="E288" s="124"/>
      <c r="F288" s="125"/>
      <c r="G288" s="125"/>
    </row>
    <row r="289" spans="5:7" s="123" customFormat="1">
      <c r="E289" s="124"/>
      <c r="F289" s="125"/>
      <c r="G289" s="125"/>
    </row>
    <row r="290" spans="5:7" s="123" customFormat="1">
      <c r="E290" s="124"/>
      <c r="F290" s="125"/>
      <c r="G290" s="125"/>
    </row>
    <row r="291" spans="5:7" s="123" customFormat="1">
      <c r="E291" s="124"/>
      <c r="F291" s="125"/>
      <c r="G291" s="125"/>
    </row>
    <row r="292" spans="5:7" s="123" customFormat="1">
      <c r="E292" s="124"/>
      <c r="F292" s="125"/>
      <c r="G292" s="125"/>
    </row>
    <row r="293" spans="5:7" s="123" customFormat="1">
      <c r="E293" s="124"/>
      <c r="F293" s="125"/>
      <c r="G293" s="125"/>
    </row>
    <row r="294" spans="5:7" s="123" customFormat="1">
      <c r="E294" s="124"/>
      <c r="F294" s="125"/>
      <c r="G294" s="125"/>
    </row>
    <row r="295" spans="5:7" s="123" customFormat="1">
      <c r="E295" s="124"/>
      <c r="F295" s="125"/>
      <c r="G295" s="125"/>
    </row>
    <row r="296" spans="5:7" s="123" customFormat="1">
      <c r="E296" s="124"/>
      <c r="F296" s="125"/>
      <c r="G296" s="125"/>
    </row>
    <row r="297" spans="5:7" s="123" customFormat="1">
      <c r="E297" s="124"/>
      <c r="F297" s="125"/>
      <c r="G297" s="125"/>
    </row>
    <row r="298" spans="5:7" s="123" customFormat="1">
      <c r="E298" s="124"/>
      <c r="F298" s="125"/>
      <c r="G298" s="125"/>
    </row>
    <row r="299" spans="5:7" s="123" customFormat="1">
      <c r="E299" s="124"/>
      <c r="F299" s="125"/>
      <c r="G299" s="125"/>
    </row>
    <row r="300" spans="5:7" s="123" customFormat="1">
      <c r="E300" s="124"/>
      <c r="F300" s="125"/>
      <c r="G300" s="125"/>
    </row>
    <row r="301" spans="5:7" s="123" customFormat="1">
      <c r="E301" s="124"/>
      <c r="F301" s="125"/>
      <c r="G301" s="125"/>
    </row>
    <row r="302" spans="5:7" s="123" customFormat="1">
      <c r="E302" s="124"/>
      <c r="F302" s="125"/>
      <c r="G302" s="125"/>
    </row>
    <row r="303" spans="5:7" s="123" customFormat="1">
      <c r="E303" s="124"/>
      <c r="F303" s="125"/>
      <c r="G303" s="125"/>
    </row>
    <row r="304" spans="5:7" s="123" customFormat="1">
      <c r="E304" s="124"/>
      <c r="F304" s="125"/>
      <c r="G304" s="125"/>
    </row>
    <row r="305" spans="5:7" s="123" customFormat="1">
      <c r="E305" s="124"/>
      <c r="F305" s="125"/>
      <c r="G305" s="125"/>
    </row>
    <row r="306" spans="5:7" s="123" customFormat="1">
      <c r="E306" s="124"/>
      <c r="F306" s="125"/>
      <c r="G306" s="125"/>
    </row>
    <row r="307" spans="5:7" s="123" customFormat="1">
      <c r="E307" s="124"/>
      <c r="F307" s="125"/>
      <c r="G307" s="125"/>
    </row>
    <row r="308" spans="5:7" s="123" customFormat="1">
      <c r="E308" s="124"/>
      <c r="F308" s="125"/>
      <c r="G308" s="125"/>
    </row>
    <row r="309" spans="5:7" s="123" customFormat="1">
      <c r="E309" s="124"/>
      <c r="F309" s="125"/>
      <c r="G309" s="125"/>
    </row>
    <row r="310" spans="5:7" s="123" customFormat="1">
      <c r="E310" s="124"/>
      <c r="F310" s="125"/>
      <c r="G310" s="125"/>
    </row>
    <row r="311" spans="5:7" s="123" customFormat="1">
      <c r="E311" s="124"/>
      <c r="F311" s="125"/>
      <c r="G311" s="125"/>
    </row>
    <row r="312" spans="5:7" s="123" customFormat="1">
      <c r="E312" s="124"/>
      <c r="F312" s="125"/>
      <c r="G312" s="125"/>
    </row>
    <row r="313" spans="5:7" s="123" customFormat="1">
      <c r="E313" s="124"/>
      <c r="F313" s="125"/>
      <c r="G313" s="125"/>
    </row>
    <row r="314" spans="5:7" s="123" customFormat="1">
      <c r="E314" s="124"/>
      <c r="F314" s="125"/>
      <c r="G314" s="125"/>
    </row>
    <row r="315" spans="5:7" s="123" customFormat="1">
      <c r="E315" s="124"/>
      <c r="F315" s="125"/>
      <c r="G315" s="125"/>
    </row>
    <row r="316" spans="5:7" s="123" customFormat="1">
      <c r="E316" s="124"/>
      <c r="F316" s="125"/>
      <c r="G316" s="125"/>
    </row>
    <row r="317" spans="5:7" s="123" customFormat="1">
      <c r="E317" s="124"/>
      <c r="F317" s="125"/>
      <c r="G317" s="125"/>
    </row>
    <row r="318" spans="5:7" s="123" customFormat="1">
      <c r="E318" s="124"/>
      <c r="F318" s="125"/>
      <c r="G318" s="125"/>
    </row>
    <row r="319" spans="5:7" s="123" customFormat="1">
      <c r="E319" s="124"/>
      <c r="F319" s="125"/>
      <c r="G319" s="125"/>
    </row>
    <row r="320" spans="5:7" s="123" customFormat="1">
      <c r="E320" s="124"/>
      <c r="F320" s="125"/>
      <c r="G320" s="125"/>
    </row>
    <row r="321" spans="5:7" s="123" customFormat="1">
      <c r="E321" s="124"/>
      <c r="F321" s="125"/>
      <c r="G321" s="125"/>
    </row>
    <row r="322" spans="5:7" s="123" customFormat="1">
      <c r="E322" s="124"/>
      <c r="F322" s="125"/>
      <c r="G322" s="125"/>
    </row>
    <row r="323" spans="5:7" s="123" customFormat="1">
      <c r="E323" s="124"/>
      <c r="F323" s="125"/>
      <c r="G323" s="125"/>
    </row>
    <row r="324" spans="5:7" s="123" customFormat="1">
      <c r="E324" s="124"/>
      <c r="F324" s="125"/>
      <c r="G324" s="125"/>
    </row>
    <row r="325" spans="5:7" s="123" customFormat="1">
      <c r="E325" s="124"/>
      <c r="F325" s="125"/>
      <c r="G325" s="125"/>
    </row>
    <row r="326" spans="5:7" s="123" customFormat="1">
      <c r="E326" s="124"/>
      <c r="F326" s="125"/>
      <c r="G326" s="125"/>
    </row>
    <row r="327" spans="5:7" s="123" customFormat="1">
      <c r="E327" s="124"/>
      <c r="F327" s="125"/>
      <c r="G327" s="125"/>
    </row>
    <row r="328" spans="5:7" s="123" customFormat="1">
      <c r="E328" s="124"/>
      <c r="F328" s="125"/>
      <c r="G328" s="125"/>
    </row>
    <row r="329" spans="5:7" s="123" customFormat="1">
      <c r="E329" s="124"/>
      <c r="F329" s="125"/>
      <c r="G329" s="125"/>
    </row>
    <row r="330" spans="5:7" s="123" customFormat="1">
      <c r="E330" s="124"/>
      <c r="F330" s="125"/>
      <c r="G330" s="125"/>
    </row>
    <row r="331" spans="5:7" s="123" customFormat="1">
      <c r="E331" s="124"/>
      <c r="F331" s="125"/>
      <c r="G331" s="125"/>
    </row>
    <row r="332" spans="5:7" s="123" customFormat="1">
      <c r="E332" s="124"/>
      <c r="F332" s="125"/>
      <c r="G332" s="125"/>
    </row>
    <row r="333" spans="5:7" s="123" customFormat="1">
      <c r="E333" s="124"/>
      <c r="F333" s="125"/>
      <c r="G333" s="125"/>
    </row>
    <row r="334" spans="5:7" s="123" customFormat="1">
      <c r="E334" s="124"/>
      <c r="F334" s="125"/>
      <c r="G334" s="125"/>
    </row>
    <row r="335" spans="5:7" s="123" customFormat="1">
      <c r="E335" s="124"/>
      <c r="F335" s="125"/>
      <c r="G335" s="125"/>
    </row>
    <row r="336" spans="5:7" s="123" customFormat="1">
      <c r="E336" s="124"/>
      <c r="F336" s="125"/>
      <c r="G336" s="125"/>
    </row>
    <row r="337" spans="5:7" s="123" customFormat="1">
      <c r="E337" s="124"/>
      <c r="F337" s="125"/>
      <c r="G337" s="125"/>
    </row>
    <row r="338" spans="5:7" s="123" customFormat="1">
      <c r="E338" s="124"/>
      <c r="F338" s="125"/>
      <c r="G338" s="125"/>
    </row>
    <row r="339" spans="5:7" s="123" customFormat="1">
      <c r="E339" s="124"/>
      <c r="F339" s="125"/>
      <c r="G339" s="125"/>
    </row>
    <row r="340" spans="5:7" s="123" customFormat="1">
      <c r="E340" s="124"/>
      <c r="F340" s="125"/>
      <c r="G340" s="125"/>
    </row>
    <row r="341" spans="5:7" s="123" customFormat="1">
      <c r="E341" s="124"/>
      <c r="F341" s="125"/>
      <c r="G341" s="125"/>
    </row>
    <row r="342" spans="5:7" s="123" customFormat="1">
      <c r="E342" s="124"/>
      <c r="F342" s="125"/>
      <c r="G342" s="125"/>
    </row>
    <row r="343" spans="5:7" s="123" customFormat="1">
      <c r="E343" s="124"/>
      <c r="F343" s="125"/>
      <c r="G343" s="125"/>
    </row>
    <row r="344" spans="5:7" s="123" customFormat="1">
      <c r="E344" s="124"/>
      <c r="F344" s="125"/>
      <c r="G344" s="125"/>
    </row>
    <row r="345" spans="5:7" s="123" customFormat="1">
      <c r="E345" s="124"/>
      <c r="F345" s="125"/>
      <c r="G345" s="125"/>
    </row>
    <row r="346" spans="5:7" s="123" customFormat="1">
      <c r="E346" s="124"/>
      <c r="F346" s="125"/>
      <c r="G346" s="125"/>
    </row>
    <row r="347" spans="5:7" s="123" customFormat="1">
      <c r="E347" s="124"/>
      <c r="F347" s="125"/>
      <c r="G347" s="125"/>
    </row>
    <row r="348" spans="5:7" s="123" customFormat="1">
      <c r="E348" s="124"/>
      <c r="F348" s="125"/>
      <c r="G348" s="125"/>
    </row>
    <row r="349" spans="5:7" s="123" customFormat="1">
      <c r="E349" s="124"/>
      <c r="F349" s="125"/>
      <c r="G349" s="125"/>
    </row>
    <row r="350" spans="5:7" s="123" customFormat="1">
      <c r="E350" s="124"/>
      <c r="F350" s="125"/>
      <c r="G350" s="125"/>
    </row>
    <row r="351" spans="5:7" s="123" customFormat="1">
      <c r="E351" s="124"/>
      <c r="F351" s="125"/>
      <c r="G351" s="125"/>
    </row>
    <row r="352" spans="5:7" s="123" customFormat="1">
      <c r="E352" s="124"/>
      <c r="F352" s="125"/>
      <c r="G352" s="125"/>
    </row>
    <row r="353" spans="5:7" s="123" customFormat="1">
      <c r="E353" s="124"/>
      <c r="F353" s="125"/>
      <c r="G353" s="125"/>
    </row>
    <row r="354" spans="5:7" s="123" customFormat="1">
      <c r="E354" s="124"/>
      <c r="F354" s="125"/>
      <c r="G354" s="125"/>
    </row>
    <row r="355" spans="5:7" s="123" customFormat="1">
      <c r="E355" s="124"/>
      <c r="F355" s="125"/>
      <c r="G355" s="125"/>
    </row>
    <row r="356" spans="5:7" s="123" customFormat="1">
      <c r="E356" s="124"/>
      <c r="F356" s="125"/>
      <c r="G356" s="125"/>
    </row>
    <row r="357" spans="5:7" s="123" customFormat="1">
      <c r="E357" s="124"/>
      <c r="F357" s="125"/>
      <c r="G357" s="125"/>
    </row>
    <row r="358" spans="5:7" s="123" customFormat="1">
      <c r="E358" s="124"/>
      <c r="F358" s="125"/>
      <c r="G358" s="125"/>
    </row>
    <row r="359" spans="5:7" s="123" customFormat="1">
      <c r="E359" s="124"/>
      <c r="F359" s="125"/>
      <c r="G359" s="125"/>
    </row>
    <row r="360" spans="5:7" s="123" customFormat="1">
      <c r="E360" s="124"/>
      <c r="F360" s="125"/>
      <c r="G360" s="125"/>
    </row>
    <row r="361" spans="5:7" s="123" customFormat="1">
      <c r="E361" s="124"/>
      <c r="F361" s="125"/>
      <c r="G361" s="125"/>
    </row>
    <row r="362" spans="5:7" s="123" customFormat="1">
      <c r="E362" s="124"/>
      <c r="F362" s="125"/>
      <c r="G362" s="125"/>
    </row>
    <row r="363" spans="5:7" s="123" customFormat="1">
      <c r="E363" s="124"/>
      <c r="F363" s="125"/>
      <c r="G363" s="125"/>
    </row>
    <row r="364" spans="5:7" s="123" customFormat="1">
      <c r="E364" s="124"/>
      <c r="F364" s="125"/>
      <c r="G364" s="125"/>
    </row>
    <row r="365" spans="5:7" s="123" customFormat="1">
      <c r="E365" s="124"/>
      <c r="F365" s="125"/>
      <c r="G365" s="125"/>
    </row>
    <row r="366" spans="5:7" s="123" customFormat="1">
      <c r="E366" s="124"/>
      <c r="F366" s="125"/>
      <c r="G366" s="125"/>
    </row>
    <row r="367" spans="5:7" s="123" customFormat="1">
      <c r="E367" s="124"/>
      <c r="F367" s="125"/>
      <c r="G367" s="125"/>
    </row>
    <row r="368" spans="5:7" s="123" customFormat="1">
      <c r="E368" s="124"/>
      <c r="F368" s="125"/>
      <c r="G368" s="125"/>
    </row>
    <row r="369" spans="5:7" s="123" customFormat="1">
      <c r="E369" s="124"/>
      <c r="F369" s="125"/>
      <c r="G369" s="125"/>
    </row>
    <row r="370" spans="5:7" s="123" customFormat="1">
      <c r="E370" s="124"/>
      <c r="F370" s="125"/>
      <c r="G370" s="125"/>
    </row>
    <row r="371" spans="5:7" s="123" customFormat="1">
      <c r="E371" s="124"/>
      <c r="F371" s="125"/>
      <c r="G371" s="125"/>
    </row>
    <row r="372" spans="5:7" s="123" customFormat="1">
      <c r="E372" s="124"/>
      <c r="F372" s="125"/>
      <c r="G372" s="125"/>
    </row>
    <row r="373" spans="5:7" s="123" customFormat="1">
      <c r="E373" s="124"/>
      <c r="F373" s="125"/>
      <c r="G373" s="125"/>
    </row>
    <row r="374" spans="5:7" s="123" customFormat="1">
      <c r="E374" s="124"/>
      <c r="F374" s="125"/>
      <c r="G374" s="125"/>
    </row>
    <row r="375" spans="5:7" s="123" customFormat="1">
      <c r="E375" s="124"/>
      <c r="F375" s="125"/>
      <c r="G375" s="125"/>
    </row>
    <row r="376" spans="5:7" s="123" customFormat="1">
      <c r="E376" s="124"/>
      <c r="F376" s="125"/>
      <c r="G376" s="125"/>
    </row>
    <row r="377" spans="5:7" s="123" customFormat="1">
      <c r="E377" s="124"/>
      <c r="F377" s="125"/>
      <c r="G377" s="125"/>
    </row>
    <row r="378" spans="5:7" s="123" customFormat="1">
      <c r="E378" s="124"/>
      <c r="F378" s="125"/>
      <c r="G378" s="125"/>
    </row>
    <row r="379" spans="5:7" s="123" customFormat="1">
      <c r="E379" s="124"/>
      <c r="F379" s="125"/>
      <c r="G379" s="125"/>
    </row>
    <row r="380" spans="5:7" s="123" customFormat="1">
      <c r="E380" s="124"/>
      <c r="F380" s="125"/>
      <c r="G380" s="125"/>
    </row>
    <row r="381" spans="5:7" s="123" customFormat="1">
      <c r="E381" s="124"/>
      <c r="F381" s="125"/>
      <c r="G381" s="125"/>
    </row>
    <row r="382" spans="5:7" s="123" customFormat="1">
      <c r="E382" s="124"/>
      <c r="F382" s="125"/>
      <c r="G382" s="125"/>
    </row>
    <row r="383" spans="5:7" s="123" customFormat="1">
      <c r="E383" s="124"/>
      <c r="F383" s="125"/>
      <c r="G383" s="125"/>
    </row>
    <row r="384" spans="5:7" s="123" customFormat="1">
      <c r="E384" s="124"/>
      <c r="F384" s="125"/>
      <c r="G384" s="125"/>
    </row>
    <row r="385" spans="5:49" s="123" customFormat="1">
      <c r="E385" s="124"/>
      <c r="F385" s="125"/>
      <c r="G385" s="125"/>
    </row>
    <row r="386" spans="5:49" s="123" customFormat="1">
      <c r="E386" s="124"/>
      <c r="F386" s="125"/>
      <c r="G386" s="125"/>
    </row>
    <row r="387" spans="5:49" s="106" customFormat="1">
      <c r="E387" s="107"/>
      <c r="F387" s="108"/>
      <c r="G387" s="108"/>
      <c r="Y387" s="129"/>
      <c r="Z387" s="123"/>
      <c r="AA387" s="123"/>
      <c r="AB387" s="123"/>
      <c r="AC387" s="123"/>
      <c r="AD387" s="123"/>
      <c r="AE387" s="123"/>
      <c r="AF387" s="123"/>
      <c r="AG387" s="123"/>
      <c r="AH387" s="123"/>
      <c r="AI387" s="123"/>
      <c r="AJ387" s="123"/>
      <c r="AK387" s="123"/>
      <c r="AL387" s="123"/>
      <c r="AM387" s="123"/>
      <c r="AN387" s="123"/>
      <c r="AO387" s="123"/>
      <c r="AP387" s="123"/>
      <c r="AQ387" s="123"/>
      <c r="AR387" s="123"/>
      <c r="AS387" s="123"/>
      <c r="AT387" s="123"/>
      <c r="AU387" s="123"/>
      <c r="AV387" s="123"/>
      <c r="AW387" s="132"/>
    </row>
  </sheetData>
  <mergeCells count="1">
    <mergeCell ref="A21:D21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CBF7C-E92E-4E2F-9B56-EACF1CF43636}">
  <sheetPr>
    <tabColor theme="9" tint="0.39997558519241921"/>
  </sheetPr>
  <dimension ref="A1:AX345"/>
  <sheetViews>
    <sheetView zoomScale="70" zoomScaleNormal="70" workbookViewId="0">
      <selection activeCell="F32" sqref="F32"/>
    </sheetView>
  </sheetViews>
  <sheetFormatPr baseColWidth="10" defaultColWidth="18.3984375" defaultRowHeight="14.25"/>
  <cols>
    <col min="1" max="4" width="18.3984375" style="91" customWidth="1"/>
    <col min="5" max="5" width="18.3984375" style="92" customWidth="1"/>
    <col min="6" max="7" width="18.3984375" style="78" customWidth="1"/>
    <col min="8" max="8" width="16" style="91" customWidth="1"/>
    <col min="9" max="9" width="14.86328125" style="91" customWidth="1"/>
    <col min="10" max="10" width="14.1328125" style="91" customWidth="1"/>
    <col min="11" max="11" width="14.33203125" style="91" customWidth="1"/>
    <col min="12" max="12" width="14.6640625" style="91" customWidth="1"/>
    <col min="13" max="13" width="14.1328125" style="91" customWidth="1"/>
    <col min="14" max="24" width="18.3984375" style="91"/>
    <col min="25" max="25" width="18.3984375" style="130"/>
    <col min="26" max="27" width="18" style="123" bestFit="1" customWidth="1"/>
    <col min="28" max="42" width="18.3984375" style="123"/>
    <col min="43" max="43" width="18.3984375" style="102"/>
    <col min="44" max="16384" width="18.3984375" style="91"/>
  </cols>
  <sheetData>
    <row r="1" spans="1:43" s="90" customFormat="1" ht="36.6" customHeight="1">
      <c r="A1" s="88" t="s">
        <v>176</v>
      </c>
      <c r="B1" s="88" t="s">
        <v>179</v>
      </c>
      <c r="C1" s="88" t="s">
        <v>187</v>
      </c>
      <c r="D1" s="88" t="s">
        <v>74</v>
      </c>
      <c r="E1" s="88" t="s">
        <v>188</v>
      </c>
      <c r="F1" s="88" t="s">
        <v>189</v>
      </c>
      <c r="G1" s="88" t="s">
        <v>52</v>
      </c>
      <c r="H1" s="89" t="s">
        <v>212</v>
      </c>
      <c r="I1" s="89" t="s">
        <v>213</v>
      </c>
      <c r="J1" s="89" t="s">
        <v>214</v>
      </c>
      <c r="K1" s="89" t="s">
        <v>215</v>
      </c>
      <c r="L1" s="89" t="s">
        <v>216</v>
      </c>
      <c r="M1" s="89" t="s">
        <v>217</v>
      </c>
      <c r="N1" s="89" t="s">
        <v>218</v>
      </c>
      <c r="O1" s="89" t="s">
        <v>219</v>
      </c>
      <c r="P1" s="89" t="s">
        <v>220</v>
      </c>
      <c r="Q1" s="89" t="s">
        <v>221</v>
      </c>
      <c r="R1" s="89" t="s">
        <v>222</v>
      </c>
      <c r="S1" s="89" t="s">
        <v>223</v>
      </c>
      <c r="T1" s="89" t="s">
        <v>224</v>
      </c>
      <c r="U1" s="89" t="s">
        <v>225</v>
      </c>
      <c r="V1" s="89" t="s">
        <v>226</v>
      </c>
      <c r="W1" s="89" t="s">
        <v>227</v>
      </c>
      <c r="X1" s="89" t="s">
        <v>228</v>
      </c>
      <c r="Y1" s="126" t="s">
        <v>229</v>
      </c>
      <c r="Z1" s="171" t="s">
        <v>239</v>
      </c>
      <c r="AA1" s="172" t="s">
        <v>240</v>
      </c>
      <c r="AB1" s="172" t="s">
        <v>241</v>
      </c>
      <c r="AC1" s="172" t="s">
        <v>242</v>
      </c>
      <c r="AD1" s="172" t="s">
        <v>243</v>
      </c>
      <c r="AE1" s="172" t="s">
        <v>244</v>
      </c>
      <c r="AF1" s="172" t="s">
        <v>245</v>
      </c>
      <c r="AG1" s="173" t="s">
        <v>246</v>
      </c>
      <c r="AH1" s="133"/>
      <c r="AI1" s="133"/>
      <c r="AJ1" s="133"/>
      <c r="AK1" s="133"/>
      <c r="AL1" s="133"/>
      <c r="AM1" s="133"/>
      <c r="AN1" s="133"/>
      <c r="AO1" s="133"/>
      <c r="AP1" s="133"/>
      <c r="AQ1" s="131"/>
    </row>
    <row r="2" spans="1:43" hidden="1">
      <c r="A2" s="75" t="s">
        <v>230</v>
      </c>
      <c r="B2" s="75" t="s">
        <v>231</v>
      </c>
      <c r="C2" s="75" t="s">
        <v>230</v>
      </c>
      <c r="D2" s="75" t="s">
        <v>27</v>
      </c>
      <c r="E2" s="113">
        <v>79316865070</v>
      </c>
      <c r="F2" s="94">
        <v>4</v>
      </c>
      <c r="G2" s="94">
        <v>2036</v>
      </c>
      <c r="H2" s="94">
        <v>0</v>
      </c>
      <c r="I2" s="94">
        <v>0</v>
      </c>
      <c r="J2" s="94">
        <v>0</v>
      </c>
      <c r="K2" s="94">
        <v>0</v>
      </c>
      <c r="L2" s="94">
        <v>0</v>
      </c>
      <c r="M2" s="94">
        <v>0</v>
      </c>
      <c r="N2" s="94">
        <v>0</v>
      </c>
      <c r="O2" s="94">
        <v>0</v>
      </c>
      <c r="P2" s="94">
        <v>0</v>
      </c>
      <c r="Q2" s="94">
        <v>0</v>
      </c>
      <c r="R2" s="94">
        <v>0</v>
      </c>
      <c r="S2" s="94">
        <v>0</v>
      </c>
      <c r="T2" s="94">
        <v>0</v>
      </c>
      <c r="U2" s="94">
        <v>0</v>
      </c>
      <c r="V2" s="94">
        <v>0</v>
      </c>
      <c r="W2" s="94">
        <v>0</v>
      </c>
      <c r="X2" s="94">
        <v>0</v>
      </c>
      <c r="Y2" s="127">
        <v>0</v>
      </c>
      <c r="Z2" s="169"/>
      <c r="AA2" s="169"/>
      <c r="AB2" s="169"/>
      <c r="AC2" s="169"/>
      <c r="AD2" s="169"/>
      <c r="AE2" s="169"/>
      <c r="AF2" s="169"/>
      <c r="AG2" s="169"/>
    </row>
    <row r="3" spans="1:43" hidden="1">
      <c r="A3" s="75" t="s">
        <v>232</v>
      </c>
      <c r="B3" s="75" t="s">
        <v>231</v>
      </c>
      <c r="C3" s="75" t="s">
        <v>232</v>
      </c>
      <c r="D3" s="75" t="s">
        <v>18</v>
      </c>
      <c r="E3" s="113">
        <v>83008042889</v>
      </c>
      <c r="F3" s="94">
        <v>3</v>
      </c>
      <c r="G3" s="94">
        <v>2295</v>
      </c>
      <c r="H3" s="94">
        <v>0</v>
      </c>
      <c r="I3" s="94">
        <v>0</v>
      </c>
      <c r="J3" s="94">
        <v>0</v>
      </c>
      <c r="K3" s="94">
        <v>0</v>
      </c>
      <c r="L3" s="94">
        <v>0</v>
      </c>
      <c r="M3" s="94">
        <v>0</v>
      </c>
      <c r="N3" s="94">
        <v>0</v>
      </c>
      <c r="O3" s="94">
        <v>0</v>
      </c>
      <c r="P3" s="94">
        <v>0</v>
      </c>
      <c r="Q3" s="94">
        <v>0</v>
      </c>
      <c r="R3" s="94">
        <v>0</v>
      </c>
      <c r="S3" s="94">
        <v>0</v>
      </c>
      <c r="T3" s="94">
        <v>0</v>
      </c>
      <c r="U3" s="94">
        <v>0</v>
      </c>
      <c r="V3" s="94">
        <v>0</v>
      </c>
      <c r="W3" s="94">
        <v>0</v>
      </c>
      <c r="X3" s="94">
        <v>0</v>
      </c>
      <c r="Y3" s="127">
        <v>0</v>
      </c>
      <c r="Z3" s="168"/>
      <c r="AA3" s="168"/>
      <c r="AB3" s="168"/>
      <c r="AC3" s="168"/>
      <c r="AD3" s="168"/>
      <c r="AE3" s="168"/>
      <c r="AF3" s="168"/>
      <c r="AG3" s="168"/>
    </row>
    <row r="4" spans="1:43" hidden="1">
      <c r="A4" s="75" t="s">
        <v>233</v>
      </c>
      <c r="B4" s="75" t="s">
        <v>116</v>
      </c>
      <c r="C4" s="75" t="s">
        <v>195</v>
      </c>
      <c r="D4" s="75" t="s">
        <v>27</v>
      </c>
      <c r="E4" s="113">
        <v>322709746890</v>
      </c>
      <c r="F4" s="94">
        <v>11.73</v>
      </c>
      <c r="G4" s="94">
        <v>10664</v>
      </c>
      <c r="H4" s="94">
        <v>0</v>
      </c>
      <c r="I4" s="94">
        <v>0</v>
      </c>
      <c r="J4" s="94">
        <v>80</v>
      </c>
      <c r="K4" s="94">
        <v>240</v>
      </c>
      <c r="L4" s="94">
        <v>400</v>
      </c>
      <c r="M4" s="94">
        <v>480</v>
      </c>
      <c r="N4" s="94">
        <v>560</v>
      </c>
      <c r="O4" s="94">
        <v>640</v>
      </c>
      <c r="P4" s="94">
        <v>720</v>
      </c>
      <c r="Q4" s="94">
        <v>800</v>
      </c>
      <c r="R4" s="94">
        <v>960</v>
      </c>
      <c r="S4" s="94">
        <v>1200</v>
      </c>
      <c r="T4" s="94">
        <v>1350</v>
      </c>
      <c r="U4" s="94">
        <v>2150</v>
      </c>
      <c r="V4" s="94">
        <v>2950</v>
      </c>
      <c r="W4" s="94">
        <v>3750</v>
      </c>
      <c r="X4" s="94">
        <v>4550</v>
      </c>
      <c r="Y4" s="127">
        <v>5350</v>
      </c>
      <c r="Z4" s="168">
        <v>6150</v>
      </c>
      <c r="AA4" s="168">
        <v>6950</v>
      </c>
      <c r="AB4" s="168">
        <v>7750</v>
      </c>
      <c r="AC4" s="168">
        <v>8550</v>
      </c>
      <c r="AD4" s="168">
        <v>9350</v>
      </c>
      <c r="AE4" s="168">
        <v>9800</v>
      </c>
      <c r="AF4" s="168">
        <v>10230</v>
      </c>
      <c r="AG4" s="168">
        <v>10664</v>
      </c>
    </row>
    <row r="5" spans="1:43" ht="39.4">
      <c r="A5" s="75" t="s">
        <v>234</v>
      </c>
      <c r="B5" s="75" t="s">
        <v>115</v>
      </c>
      <c r="C5" s="75" t="s">
        <v>197</v>
      </c>
      <c r="D5" s="75" t="s">
        <v>22</v>
      </c>
      <c r="E5" s="113">
        <v>121589085878</v>
      </c>
      <c r="F5" s="94">
        <v>4.16</v>
      </c>
      <c r="G5" s="94">
        <v>3783</v>
      </c>
      <c r="H5" s="94">
        <v>0</v>
      </c>
      <c r="I5" s="94">
        <v>0</v>
      </c>
      <c r="J5" s="94">
        <v>0</v>
      </c>
      <c r="K5" s="94">
        <v>0</v>
      </c>
      <c r="L5" s="94">
        <v>0</v>
      </c>
      <c r="M5" s="94">
        <v>40</v>
      </c>
      <c r="N5" s="94">
        <v>100</v>
      </c>
      <c r="O5" s="94">
        <v>160</v>
      </c>
      <c r="P5" s="94">
        <v>160</v>
      </c>
      <c r="Q5" s="94">
        <v>160</v>
      </c>
      <c r="R5" s="94">
        <v>352</v>
      </c>
      <c r="S5" s="94">
        <v>544</v>
      </c>
      <c r="T5" s="94">
        <v>736</v>
      </c>
      <c r="U5" s="94">
        <v>976</v>
      </c>
      <c r="V5" s="94">
        <v>1168</v>
      </c>
      <c r="W5" s="94">
        <v>1360</v>
      </c>
      <c r="X5" s="94">
        <v>1600</v>
      </c>
      <c r="Y5" s="127">
        <v>1792</v>
      </c>
      <c r="Z5" s="168">
        <v>2032</v>
      </c>
      <c r="AA5" s="168">
        <v>2224</v>
      </c>
      <c r="AB5" s="168">
        <v>2464</v>
      </c>
      <c r="AC5" s="168">
        <v>2656</v>
      </c>
      <c r="AD5" s="168">
        <v>2856</v>
      </c>
      <c r="AE5" s="168">
        <v>3056</v>
      </c>
      <c r="AF5" s="168">
        <v>3306</v>
      </c>
      <c r="AG5" s="168">
        <v>3783</v>
      </c>
    </row>
    <row r="6" spans="1:43">
      <c r="A6" s="75" t="s">
        <v>114</v>
      </c>
      <c r="B6" s="75" t="s">
        <v>113</v>
      </c>
      <c r="C6" s="75" t="s">
        <v>114</v>
      </c>
      <c r="D6" s="75" t="s">
        <v>22</v>
      </c>
      <c r="E6" s="113">
        <v>27742028640</v>
      </c>
      <c r="F6" s="94">
        <v>0.95</v>
      </c>
      <c r="G6" s="94">
        <v>862</v>
      </c>
      <c r="H6" s="94">
        <v>0</v>
      </c>
      <c r="I6" s="94">
        <v>0</v>
      </c>
      <c r="J6" s="94">
        <v>0</v>
      </c>
      <c r="K6" s="94">
        <v>0</v>
      </c>
      <c r="L6" s="94">
        <v>0</v>
      </c>
      <c r="M6" s="94">
        <v>0</v>
      </c>
      <c r="N6" s="94">
        <v>0</v>
      </c>
      <c r="O6" s="94">
        <v>0</v>
      </c>
      <c r="P6" s="94">
        <v>0</v>
      </c>
      <c r="Q6" s="94">
        <v>48</v>
      </c>
      <c r="R6" s="94">
        <v>84</v>
      </c>
      <c r="S6" s="94">
        <v>84</v>
      </c>
      <c r="T6" s="94">
        <v>144</v>
      </c>
      <c r="U6" s="94">
        <v>232</v>
      </c>
      <c r="V6" s="94">
        <v>342</v>
      </c>
      <c r="W6" s="94">
        <v>430</v>
      </c>
      <c r="X6" s="94">
        <v>518</v>
      </c>
      <c r="Y6" s="127">
        <v>628</v>
      </c>
      <c r="Z6" s="168">
        <v>716</v>
      </c>
      <c r="AA6" s="168">
        <v>862</v>
      </c>
      <c r="AB6" s="168"/>
      <c r="AC6" s="168"/>
      <c r="AD6" s="168"/>
      <c r="AE6" s="168"/>
      <c r="AF6" s="168"/>
      <c r="AG6" s="168"/>
    </row>
    <row r="7" spans="1:43">
      <c r="A7" s="75" t="s">
        <v>110</v>
      </c>
      <c r="B7" s="75" t="s">
        <v>109</v>
      </c>
      <c r="C7" s="75" t="s">
        <v>200</v>
      </c>
      <c r="D7" s="75" t="s">
        <v>22</v>
      </c>
      <c r="E7" s="113">
        <v>51087244522</v>
      </c>
      <c r="F7" s="94">
        <v>1.74</v>
      </c>
      <c r="G7" s="94">
        <v>1581</v>
      </c>
      <c r="H7" s="94">
        <v>0</v>
      </c>
      <c r="I7" s="94">
        <v>0</v>
      </c>
      <c r="J7" s="94">
        <v>0</v>
      </c>
      <c r="K7" s="94">
        <v>0</v>
      </c>
      <c r="L7" s="94">
        <v>0</v>
      </c>
      <c r="M7" s="94">
        <v>24</v>
      </c>
      <c r="N7" s="94">
        <v>120</v>
      </c>
      <c r="O7" s="94">
        <v>208</v>
      </c>
      <c r="P7" s="94">
        <v>296</v>
      </c>
      <c r="Q7" s="94">
        <v>416</v>
      </c>
      <c r="R7" s="94">
        <v>512</v>
      </c>
      <c r="S7" s="94">
        <v>512</v>
      </c>
      <c r="T7" s="94">
        <v>624</v>
      </c>
      <c r="U7" s="94">
        <v>728</v>
      </c>
      <c r="V7" s="94">
        <v>863</v>
      </c>
      <c r="W7" s="94">
        <v>983</v>
      </c>
      <c r="X7" s="94">
        <v>1103</v>
      </c>
      <c r="Y7" s="127">
        <v>1253</v>
      </c>
      <c r="Z7" s="168">
        <v>1333</v>
      </c>
      <c r="AA7" s="168">
        <v>1581</v>
      </c>
      <c r="AB7" s="168"/>
      <c r="AC7" s="168"/>
      <c r="AD7" s="168"/>
      <c r="AE7" s="168"/>
      <c r="AF7" s="168"/>
      <c r="AG7" s="168"/>
    </row>
    <row r="8" spans="1:43" ht="65.650000000000006">
      <c r="A8" s="75" t="s">
        <v>235</v>
      </c>
      <c r="B8" s="75" t="s">
        <v>111</v>
      </c>
      <c r="C8" s="75" t="s">
        <v>201</v>
      </c>
      <c r="D8" s="75" t="s">
        <v>22</v>
      </c>
      <c r="E8" s="113">
        <v>37573918087</v>
      </c>
      <c r="F8" s="94">
        <v>1.27</v>
      </c>
      <c r="G8" s="94">
        <v>1158</v>
      </c>
      <c r="H8" s="94">
        <v>0</v>
      </c>
      <c r="I8" s="94">
        <v>0</v>
      </c>
      <c r="J8" s="94">
        <v>0</v>
      </c>
      <c r="K8" s="94">
        <v>0</v>
      </c>
      <c r="L8" s="94">
        <v>0</v>
      </c>
      <c r="M8" s="94">
        <v>0</v>
      </c>
      <c r="N8" s="94">
        <v>36</v>
      </c>
      <c r="O8" s="94">
        <v>76</v>
      </c>
      <c r="P8" s="94">
        <v>124</v>
      </c>
      <c r="Q8" s="94">
        <v>194</v>
      </c>
      <c r="R8" s="94">
        <v>258</v>
      </c>
      <c r="S8" s="94">
        <v>258</v>
      </c>
      <c r="T8" s="94">
        <v>322</v>
      </c>
      <c r="U8" s="94">
        <v>410</v>
      </c>
      <c r="V8" s="94">
        <v>520</v>
      </c>
      <c r="W8" s="94">
        <v>608</v>
      </c>
      <c r="X8" s="94">
        <v>696</v>
      </c>
      <c r="Y8" s="127">
        <v>806</v>
      </c>
      <c r="Z8" s="168">
        <v>894</v>
      </c>
      <c r="AA8" s="168">
        <v>1158</v>
      </c>
      <c r="AB8" s="168"/>
      <c r="AC8" s="168"/>
      <c r="AD8" s="168"/>
      <c r="AE8" s="168"/>
      <c r="AF8" s="168"/>
      <c r="AG8" s="168"/>
    </row>
    <row r="9" spans="1:43">
      <c r="A9" s="75" t="s">
        <v>236</v>
      </c>
      <c r="B9" s="75" t="s">
        <v>111</v>
      </c>
      <c r="C9" s="75" t="s">
        <v>202</v>
      </c>
      <c r="D9" s="75" t="s">
        <v>22</v>
      </c>
      <c r="E9" s="113">
        <v>4402514558</v>
      </c>
      <c r="F9" s="94">
        <v>0.19</v>
      </c>
      <c r="G9" s="94">
        <v>154</v>
      </c>
      <c r="H9" s="94">
        <v>0</v>
      </c>
      <c r="I9" s="94">
        <v>0</v>
      </c>
      <c r="J9" s="94">
        <v>0</v>
      </c>
      <c r="K9" s="94">
        <v>0</v>
      </c>
      <c r="L9" s="94">
        <v>0</v>
      </c>
      <c r="M9" s="94">
        <v>0</v>
      </c>
      <c r="N9" s="94">
        <v>24</v>
      </c>
      <c r="O9" s="94">
        <v>42</v>
      </c>
      <c r="P9" s="94">
        <v>60</v>
      </c>
      <c r="Q9" s="94">
        <v>90</v>
      </c>
      <c r="R9" s="94">
        <v>114</v>
      </c>
      <c r="S9" s="94">
        <v>114</v>
      </c>
      <c r="T9" s="94">
        <v>154</v>
      </c>
      <c r="U9" s="94"/>
      <c r="V9" s="94"/>
      <c r="W9" s="94"/>
      <c r="X9" s="94"/>
      <c r="Y9" s="127"/>
      <c r="Z9" s="168"/>
      <c r="AA9" s="168"/>
      <c r="AB9" s="168"/>
      <c r="AC9" s="168"/>
      <c r="AD9" s="168"/>
      <c r="AE9" s="168"/>
      <c r="AF9" s="168"/>
      <c r="AG9" s="168"/>
    </row>
    <row r="10" spans="1:43" hidden="1">
      <c r="A10" s="75" t="s">
        <v>203</v>
      </c>
      <c r="B10" s="75" t="s">
        <v>120</v>
      </c>
      <c r="C10" s="75" t="s">
        <v>203</v>
      </c>
      <c r="D10" s="75" t="s">
        <v>18</v>
      </c>
      <c r="E10" s="113">
        <v>31420264769</v>
      </c>
      <c r="F10" s="94">
        <v>1.21</v>
      </c>
      <c r="G10" s="94">
        <v>1003</v>
      </c>
      <c r="H10" s="94">
        <v>0</v>
      </c>
      <c r="I10" s="94">
        <v>0</v>
      </c>
      <c r="J10" s="94">
        <v>0</v>
      </c>
      <c r="K10" s="94">
        <v>0</v>
      </c>
      <c r="L10" s="94">
        <v>0</v>
      </c>
      <c r="M10" s="94">
        <v>0</v>
      </c>
      <c r="N10" s="94">
        <v>0</v>
      </c>
      <c r="O10" s="94">
        <v>0</v>
      </c>
      <c r="P10" s="94">
        <v>0</v>
      </c>
      <c r="Q10" s="94">
        <v>0</v>
      </c>
      <c r="R10" s="94">
        <v>0</v>
      </c>
      <c r="S10" s="94">
        <v>0</v>
      </c>
      <c r="T10" s="94">
        <v>0</v>
      </c>
      <c r="U10" s="94">
        <v>0</v>
      </c>
      <c r="V10" s="94">
        <v>0</v>
      </c>
      <c r="W10" s="94">
        <v>0</v>
      </c>
      <c r="X10" s="94">
        <v>0</v>
      </c>
      <c r="Y10" s="127">
        <v>0</v>
      </c>
      <c r="Z10" s="168"/>
      <c r="AA10" s="168"/>
      <c r="AB10" s="168"/>
      <c r="AC10" s="168"/>
      <c r="AD10" s="168"/>
      <c r="AE10" s="168"/>
      <c r="AF10" s="168"/>
      <c r="AG10" s="168"/>
    </row>
    <row r="11" spans="1:43">
      <c r="A11" s="75" t="s">
        <v>102</v>
      </c>
      <c r="B11" s="75" t="s">
        <v>101</v>
      </c>
      <c r="C11" s="75" t="s">
        <v>204</v>
      </c>
      <c r="D11" s="75" t="s">
        <v>22</v>
      </c>
      <c r="E11" s="114">
        <v>18447808737</v>
      </c>
      <c r="F11" s="94">
        <v>0.76</v>
      </c>
      <c r="G11" s="94">
        <v>623</v>
      </c>
      <c r="H11" s="94">
        <v>60</v>
      </c>
      <c r="I11" s="94">
        <v>120</v>
      </c>
      <c r="J11" s="94">
        <v>180</v>
      </c>
      <c r="K11" s="94">
        <v>200</v>
      </c>
      <c r="L11" s="94">
        <v>250</v>
      </c>
      <c r="M11" s="94">
        <v>300</v>
      </c>
      <c r="N11" s="94">
        <v>350</v>
      </c>
      <c r="O11" s="94">
        <v>400</v>
      </c>
      <c r="P11" s="94">
        <v>430</v>
      </c>
      <c r="Q11" s="94">
        <v>460</v>
      </c>
      <c r="R11" s="94">
        <v>500</v>
      </c>
      <c r="S11" s="94">
        <v>530</v>
      </c>
      <c r="T11" s="94">
        <v>560</v>
      </c>
      <c r="U11" s="94">
        <v>580</v>
      </c>
      <c r="V11" s="94">
        <v>600</v>
      </c>
      <c r="W11" s="94">
        <v>610</v>
      </c>
      <c r="X11" s="94">
        <v>623</v>
      </c>
      <c r="Y11" s="127">
        <v>623</v>
      </c>
      <c r="Z11" s="168"/>
      <c r="AA11" s="168"/>
      <c r="AB11" s="168"/>
      <c r="AC11" s="168"/>
      <c r="AD11" s="168"/>
      <c r="AE11" s="168"/>
      <c r="AF11" s="168"/>
      <c r="AG11" s="168"/>
    </row>
    <row r="12" spans="1:43">
      <c r="A12" s="75" t="s">
        <v>205</v>
      </c>
      <c r="B12" s="75" t="s">
        <v>101</v>
      </c>
      <c r="C12" s="75" t="s">
        <v>205</v>
      </c>
      <c r="D12" s="75" t="s">
        <v>22</v>
      </c>
      <c r="E12" s="113">
        <v>18114661005</v>
      </c>
      <c r="F12" s="94">
        <v>0.76</v>
      </c>
      <c r="G12" s="94">
        <v>624</v>
      </c>
      <c r="H12" s="94">
        <v>0</v>
      </c>
      <c r="I12" s="94">
        <v>0</v>
      </c>
      <c r="J12" s="94">
        <v>0</v>
      </c>
      <c r="K12" s="94">
        <v>100</v>
      </c>
      <c r="L12" s="94">
        <v>100</v>
      </c>
      <c r="M12" s="94">
        <v>100</v>
      </c>
      <c r="N12" s="94">
        <v>125</v>
      </c>
      <c r="O12" s="94">
        <v>230</v>
      </c>
      <c r="P12" s="94">
        <v>270</v>
      </c>
      <c r="Q12" s="94">
        <v>350</v>
      </c>
      <c r="R12" s="94">
        <v>440</v>
      </c>
      <c r="S12" s="94">
        <v>510</v>
      </c>
      <c r="T12" s="94">
        <v>550</v>
      </c>
      <c r="U12" s="94">
        <v>590</v>
      </c>
      <c r="V12" s="94">
        <v>620</v>
      </c>
      <c r="W12" s="94">
        <v>624</v>
      </c>
      <c r="X12" s="94">
        <v>624</v>
      </c>
      <c r="Y12" s="127">
        <v>624</v>
      </c>
      <c r="Z12" s="168"/>
      <c r="AA12" s="168"/>
      <c r="AB12" s="168"/>
      <c r="AC12" s="168"/>
      <c r="AD12" s="168"/>
      <c r="AE12" s="168"/>
      <c r="AF12" s="168"/>
      <c r="AG12" s="168"/>
    </row>
    <row r="13" spans="1:43" hidden="1">
      <c r="A13" s="75" t="s">
        <v>122</v>
      </c>
      <c r="B13" s="75" t="s">
        <v>116</v>
      </c>
      <c r="C13" s="75" t="s">
        <v>122</v>
      </c>
      <c r="D13" s="75" t="s">
        <v>18</v>
      </c>
      <c r="E13" s="113">
        <v>30713269905</v>
      </c>
      <c r="F13" s="94">
        <v>1.2</v>
      </c>
      <c r="G13" s="94">
        <v>1000</v>
      </c>
      <c r="H13" s="94">
        <v>0</v>
      </c>
      <c r="I13" s="94">
        <v>0</v>
      </c>
      <c r="J13" s="94">
        <v>0</v>
      </c>
      <c r="K13" s="94">
        <v>0</v>
      </c>
      <c r="L13" s="94">
        <v>0</v>
      </c>
      <c r="M13" s="94">
        <v>0</v>
      </c>
      <c r="N13" s="94">
        <v>0</v>
      </c>
      <c r="O13" s="94">
        <v>0</v>
      </c>
      <c r="P13" s="94">
        <v>0</v>
      </c>
      <c r="Q13" s="94">
        <v>0</v>
      </c>
      <c r="R13" s="94">
        <v>0</v>
      </c>
      <c r="S13" s="94">
        <v>0</v>
      </c>
      <c r="T13" s="94">
        <v>0</v>
      </c>
      <c r="U13" s="94">
        <v>0</v>
      </c>
      <c r="V13" s="94">
        <v>0</v>
      </c>
      <c r="W13" s="94">
        <v>0</v>
      </c>
      <c r="X13" s="94">
        <v>0</v>
      </c>
      <c r="Y13" s="127">
        <v>0</v>
      </c>
      <c r="Z13" s="168"/>
      <c r="AA13" s="168"/>
      <c r="AB13" s="168"/>
      <c r="AC13" s="168"/>
      <c r="AD13" s="168"/>
      <c r="AE13" s="168"/>
      <c r="AF13" s="168"/>
      <c r="AG13" s="168"/>
    </row>
    <row r="14" spans="1:43" hidden="1">
      <c r="A14" s="75" t="s">
        <v>206</v>
      </c>
      <c r="B14" s="75" t="s">
        <v>123</v>
      </c>
      <c r="C14" s="75" t="s">
        <v>206</v>
      </c>
      <c r="D14" s="75" t="s">
        <v>18</v>
      </c>
      <c r="E14" s="113">
        <v>6880380834</v>
      </c>
      <c r="F14" s="94">
        <v>0.31</v>
      </c>
      <c r="G14" s="94">
        <v>217</v>
      </c>
      <c r="H14" s="94">
        <v>0</v>
      </c>
      <c r="I14" s="94">
        <v>0</v>
      </c>
      <c r="J14" s="94">
        <v>0</v>
      </c>
      <c r="K14" s="94">
        <v>0</v>
      </c>
      <c r="L14" s="94">
        <v>0</v>
      </c>
      <c r="M14" s="94">
        <v>0</v>
      </c>
      <c r="N14" s="94">
        <v>0</v>
      </c>
      <c r="O14" s="94">
        <v>0</v>
      </c>
      <c r="P14" s="94">
        <v>0</v>
      </c>
      <c r="Q14" s="94">
        <v>0</v>
      </c>
      <c r="R14" s="94">
        <v>0</v>
      </c>
      <c r="S14" s="94">
        <v>0</v>
      </c>
      <c r="T14" s="94">
        <v>0</v>
      </c>
      <c r="U14" s="94">
        <v>0</v>
      </c>
      <c r="V14" s="94">
        <v>0</v>
      </c>
      <c r="W14" s="94">
        <v>0</v>
      </c>
      <c r="X14" s="94">
        <v>0</v>
      </c>
      <c r="Y14" s="127">
        <v>0</v>
      </c>
      <c r="Z14" s="168"/>
      <c r="AA14" s="168"/>
      <c r="AB14" s="168"/>
      <c r="AC14" s="168"/>
      <c r="AD14" s="168"/>
      <c r="AE14" s="168"/>
      <c r="AF14" s="168"/>
      <c r="AG14" s="168"/>
    </row>
    <row r="15" spans="1:43" hidden="1">
      <c r="A15" s="75" t="s">
        <v>207</v>
      </c>
      <c r="B15" s="75" t="s">
        <v>123</v>
      </c>
      <c r="C15" s="75" t="s">
        <v>207</v>
      </c>
      <c r="D15" s="75" t="s">
        <v>18</v>
      </c>
      <c r="E15" s="113">
        <v>22802905997</v>
      </c>
      <c r="F15" s="94">
        <v>0.72</v>
      </c>
      <c r="G15" s="94">
        <v>719</v>
      </c>
      <c r="H15" s="94">
        <v>0</v>
      </c>
      <c r="I15" s="94">
        <v>0</v>
      </c>
      <c r="J15" s="94">
        <v>0</v>
      </c>
      <c r="K15" s="94">
        <v>0</v>
      </c>
      <c r="L15" s="94">
        <v>0</v>
      </c>
      <c r="M15" s="94">
        <v>0</v>
      </c>
      <c r="N15" s="94">
        <v>0</v>
      </c>
      <c r="O15" s="94">
        <v>0</v>
      </c>
      <c r="P15" s="94">
        <v>0</v>
      </c>
      <c r="Q15" s="94">
        <v>0</v>
      </c>
      <c r="R15" s="94">
        <v>0</v>
      </c>
      <c r="S15" s="94">
        <v>0</v>
      </c>
      <c r="T15" s="94">
        <v>0</v>
      </c>
      <c r="U15" s="94">
        <v>0</v>
      </c>
      <c r="V15" s="94">
        <v>0</v>
      </c>
      <c r="W15" s="94">
        <v>0</v>
      </c>
      <c r="X15" s="94">
        <v>0</v>
      </c>
      <c r="Y15" s="127">
        <v>0</v>
      </c>
      <c r="Z15" s="168"/>
      <c r="AA15" s="168"/>
      <c r="AB15" s="168"/>
      <c r="AC15" s="168"/>
      <c r="AD15" s="168"/>
      <c r="AE15" s="168"/>
      <c r="AF15" s="168"/>
      <c r="AG15" s="168"/>
    </row>
    <row r="16" spans="1:43" hidden="1">
      <c r="A16" s="75" t="s">
        <v>208</v>
      </c>
      <c r="B16" s="75" t="s">
        <v>123</v>
      </c>
      <c r="C16" s="75" t="s">
        <v>208</v>
      </c>
      <c r="D16" s="75" t="s">
        <v>18</v>
      </c>
      <c r="E16" s="113">
        <v>9349545113</v>
      </c>
      <c r="F16" s="94">
        <v>0.42</v>
      </c>
      <c r="G16" s="94">
        <v>293</v>
      </c>
      <c r="H16" s="94">
        <v>0</v>
      </c>
      <c r="I16" s="94">
        <v>0</v>
      </c>
      <c r="J16" s="94">
        <v>0</v>
      </c>
      <c r="K16" s="94">
        <v>0</v>
      </c>
      <c r="L16" s="94">
        <v>0</v>
      </c>
      <c r="M16" s="94">
        <v>0</v>
      </c>
      <c r="N16" s="94">
        <v>0</v>
      </c>
      <c r="O16" s="94">
        <v>0</v>
      </c>
      <c r="P16" s="94">
        <v>0</v>
      </c>
      <c r="Q16" s="94">
        <v>0</v>
      </c>
      <c r="R16" s="94">
        <v>0</v>
      </c>
      <c r="S16" s="94">
        <v>0</v>
      </c>
      <c r="T16" s="94">
        <v>0</v>
      </c>
      <c r="U16" s="94">
        <v>0</v>
      </c>
      <c r="V16" s="94">
        <v>0</v>
      </c>
      <c r="W16" s="94">
        <v>0</v>
      </c>
      <c r="X16" s="94">
        <v>0</v>
      </c>
      <c r="Y16" s="127">
        <v>0</v>
      </c>
      <c r="Z16" s="168"/>
      <c r="AA16" s="168"/>
      <c r="AB16" s="168"/>
      <c r="AC16" s="168"/>
      <c r="AD16" s="168"/>
      <c r="AE16" s="168"/>
      <c r="AF16" s="168"/>
      <c r="AG16" s="168"/>
    </row>
    <row r="17" spans="1:50" hidden="1">
      <c r="A17" s="75" t="s">
        <v>209</v>
      </c>
      <c r="B17" s="75" t="s">
        <v>123</v>
      </c>
      <c r="C17" s="75" t="s">
        <v>209</v>
      </c>
      <c r="D17" s="75" t="s">
        <v>18</v>
      </c>
      <c r="E17" s="113">
        <v>24764667070</v>
      </c>
      <c r="F17" s="94">
        <v>1.1000000000000001</v>
      </c>
      <c r="G17" s="94">
        <v>777</v>
      </c>
      <c r="H17" s="94">
        <v>0</v>
      </c>
      <c r="I17" s="94">
        <v>0</v>
      </c>
      <c r="J17" s="94">
        <v>0</v>
      </c>
      <c r="K17" s="94">
        <v>0</v>
      </c>
      <c r="L17" s="94">
        <v>0</v>
      </c>
      <c r="M17" s="94">
        <v>0</v>
      </c>
      <c r="N17" s="94">
        <v>0</v>
      </c>
      <c r="O17" s="94">
        <v>0</v>
      </c>
      <c r="P17" s="94">
        <v>0</v>
      </c>
      <c r="Q17" s="94">
        <v>0</v>
      </c>
      <c r="R17" s="94">
        <v>0</v>
      </c>
      <c r="S17" s="94">
        <v>0</v>
      </c>
      <c r="T17" s="94">
        <v>0</v>
      </c>
      <c r="U17" s="94">
        <v>0</v>
      </c>
      <c r="V17" s="94">
        <v>0</v>
      </c>
      <c r="W17" s="94">
        <v>0</v>
      </c>
      <c r="X17" s="94">
        <v>0</v>
      </c>
      <c r="Y17" s="127">
        <v>0</v>
      </c>
      <c r="Z17" s="168"/>
      <c r="AA17" s="168"/>
      <c r="AB17" s="168"/>
      <c r="AC17" s="168"/>
      <c r="AD17" s="168"/>
      <c r="AE17" s="168"/>
      <c r="AF17" s="168"/>
      <c r="AG17" s="168"/>
    </row>
    <row r="18" spans="1:50" hidden="1">
      <c r="A18" s="75" t="s">
        <v>210</v>
      </c>
      <c r="B18" s="75" t="s">
        <v>185</v>
      </c>
      <c r="C18" s="75" t="s">
        <v>210</v>
      </c>
      <c r="D18" s="75" t="s">
        <v>18</v>
      </c>
      <c r="E18" s="113">
        <v>24437339433</v>
      </c>
      <c r="F18" s="94">
        <v>1.52</v>
      </c>
      <c r="G18" s="94">
        <v>755</v>
      </c>
      <c r="H18" s="94">
        <v>0</v>
      </c>
      <c r="I18" s="94">
        <v>0</v>
      </c>
      <c r="J18" s="94">
        <v>0</v>
      </c>
      <c r="K18" s="94">
        <v>0</v>
      </c>
      <c r="L18" s="94">
        <v>0</v>
      </c>
      <c r="M18" s="94">
        <v>0</v>
      </c>
      <c r="N18" s="94">
        <v>0</v>
      </c>
      <c r="O18" s="94">
        <v>0</v>
      </c>
      <c r="P18" s="94">
        <v>0</v>
      </c>
      <c r="Q18" s="94">
        <v>0</v>
      </c>
      <c r="R18" s="94">
        <v>0</v>
      </c>
      <c r="S18" s="94">
        <v>0</v>
      </c>
      <c r="T18" s="94">
        <v>0</v>
      </c>
      <c r="U18" s="94">
        <v>0</v>
      </c>
      <c r="V18" s="94">
        <v>0</v>
      </c>
      <c r="W18" s="94">
        <v>0</v>
      </c>
      <c r="X18" s="94">
        <v>0</v>
      </c>
      <c r="Y18" s="127">
        <v>0</v>
      </c>
      <c r="Z18" s="168"/>
      <c r="AA18" s="168"/>
      <c r="AB18" s="168"/>
      <c r="AC18" s="168"/>
      <c r="AD18" s="168"/>
      <c r="AE18" s="168"/>
      <c r="AF18" s="168"/>
      <c r="AG18" s="168"/>
    </row>
    <row r="19" spans="1:50" s="79" customFormat="1" hidden="1">
      <c r="A19" s="95" t="s">
        <v>127</v>
      </c>
      <c r="B19" s="96" t="s">
        <v>126</v>
      </c>
      <c r="C19" s="96" t="s">
        <v>126</v>
      </c>
      <c r="D19" s="96" t="s">
        <v>183</v>
      </c>
      <c r="E19" s="158">
        <v>41281267500</v>
      </c>
      <c r="F19" s="117">
        <v>4.3499999999999996</v>
      </c>
      <c r="G19" s="96">
        <v>2500</v>
      </c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170"/>
      <c r="AA19" s="170"/>
      <c r="AB19" s="170"/>
      <c r="AC19" s="170"/>
      <c r="AD19" s="170"/>
      <c r="AE19" s="170"/>
      <c r="AF19" s="170"/>
      <c r="AG19" s="170"/>
      <c r="AH19" s="135"/>
      <c r="AI19" s="135"/>
      <c r="AJ19" s="135"/>
      <c r="AK19" s="135"/>
      <c r="AL19" s="135"/>
      <c r="AM19" s="135"/>
      <c r="AN19" s="135"/>
      <c r="AO19" s="135"/>
      <c r="AP19" s="135"/>
      <c r="AQ19" s="135"/>
      <c r="AR19" s="135"/>
      <c r="AS19" s="135"/>
      <c r="AT19" s="135"/>
      <c r="AU19" s="135"/>
      <c r="AV19" s="135"/>
      <c r="AW19" s="135"/>
      <c r="AX19" s="135"/>
    </row>
    <row r="20" spans="1:50" ht="14.65" thickBot="1">
      <c r="A20" s="103"/>
      <c r="B20" s="103"/>
      <c r="C20" s="103"/>
      <c r="D20" s="103"/>
      <c r="E20" s="11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28"/>
    </row>
    <row r="21" spans="1:50" s="103" customFormat="1" ht="14.65" thickBot="1">
      <c r="A21" s="220" t="s">
        <v>237</v>
      </c>
      <c r="B21" s="221"/>
      <c r="C21" s="221"/>
      <c r="D21" s="221"/>
      <c r="E21" s="120">
        <f t="shared" ref="E21:Y21" si="0">SUM(E2:E20)</f>
        <v>955641556897</v>
      </c>
      <c r="F21" s="112">
        <f t="shared" si="0"/>
        <v>39.390000000000008</v>
      </c>
      <c r="G21" s="110">
        <f t="shared" si="0"/>
        <v>31044</v>
      </c>
      <c r="H21" s="110">
        <f t="shared" si="0"/>
        <v>60</v>
      </c>
      <c r="I21" s="110">
        <f t="shared" si="0"/>
        <v>120</v>
      </c>
      <c r="J21" s="110">
        <f t="shared" si="0"/>
        <v>260</v>
      </c>
      <c r="K21" s="110">
        <f t="shared" si="0"/>
        <v>540</v>
      </c>
      <c r="L21" s="110">
        <f t="shared" si="0"/>
        <v>750</v>
      </c>
      <c r="M21" s="110">
        <f t="shared" si="0"/>
        <v>944</v>
      </c>
      <c r="N21" s="110">
        <f t="shared" si="0"/>
        <v>1315</v>
      </c>
      <c r="O21" s="110">
        <f t="shared" si="0"/>
        <v>1756</v>
      </c>
      <c r="P21" s="110">
        <f t="shared" si="0"/>
        <v>2060</v>
      </c>
      <c r="Q21" s="110">
        <f t="shared" si="0"/>
        <v>2518</v>
      </c>
      <c r="R21" s="110">
        <f t="shared" si="0"/>
        <v>3220</v>
      </c>
      <c r="S21" s="110">
        <f t="shared" si="0"/>
        <v>3752</v>
      </c>
      <c r="T21" s="110">
        <f t="shared" si="0"/>
        <v>4440</v>
      </c>
      <c r="U21" s="110">
        <f t="shared" si="0"/>
        <v>5666</v>
      </c>
      <c r="V21" s="110">
        <f t="shared" si="0"/>
        <v>7063</v>
      </c>
      <c r="W21" s="110">
        <f t="shared" si="0"/>
        <v>8365</v>
      </c>
      <c r="X21" s="110">
        <f t="shared" si="0"/>
        <v>9714</v>
      </c>
      <c r="Y21" s="155">
        <f t="shared" si="0"/>
        <v>11076</v>
      </c>
      <c r="Z21" s="155">
        <f t="shared" ref="Z21:AG21" si="1">SUM(Z2:Z20)</f>
        <v>11125</v>
      </c>
      <c r="AA21" s="155">
        <f t="shared" si="1"/>
        <v>12775</v>
      </c>
      <c r="AB21" s="155">
        <f t="shared" si="1"/>
        <v>10214</v>
      </c>
      <c r="AC21" s="155">
        <f t="shared" si="1"/>
        <v>11206</v>
      </c>
      <c r="AD21" s="155">
        <f t="shared" si="1"/>
        <v>12206</v>
      </c>
      <c r="AE21" s="155">
        <f t="shared" si="1"/>
        <v>12856</v>
      </c>
      <c r="AF21" s="155">
        <f t="shared" si="1"/>
        <v>13536</v>
      </c>
      <c r="AG21" s="155">
        <f t="shared" si="1"/>
        <v>14447</v>
      </c>
      <c r="AH21" s="123"/>
      <c r="AI21" s="123"/>
      <c r="AJ21" s="123"/>
      <c r="AK21" s="123"/>
      <c r="AL21" s="123"/>
      <c r="AM21" s="123"/>
      <c r="AN21" s="123"/>
      <c r="AO21" s="123"/>
      <c r="AP21" s="123"/>
      <c r="AQ21" s="122"/>
    </row>
    <row r="22" spans="1:50" s="123" customFormat="1">
      <c r="E22" s="124"/>
      <c r="F22" s="125"/>
      <c r="G22" s="125"/>
    </row>
    <row r="23" spans="1:50" s="123" customFormat="1">
      <c r="E23" s="124"/>
      <c r="F23" s="125"/>
      <c r="G23" s="125"/>
    </row>
    <row r="24" spans="1:50" s="123" customFormat="1">
      <c r="E24" s="124"/>
      <c r="F24" s="125"/>
      <c r="G24" s="125"/>
    </row>
    <row r="25" spans="1:50" s="123" customFormat="1">
      <c r="E25" s="124"/>
      <c r="F25" s="125"/>
      <c r="G25" s="125"/>
    </row>
    <row r="26" spans="1:50" s="123" customFormat="1">
      <c r="E26" s="124"/>
      <c r="F26" s="125"/>
      <c r="G26" s="125"/>
    </row>
    <row r="27" spans="1:50" s="123" customFormat="1">
      <c r="E27" s="124"/>
      <c r="F27" s="125"/>
      <c r="G27" s="125"/>
    </row>
    <row r="28" spans="1:50" s="123" customFormat="1">
      <c r="E28" s="124"/>
      <c r="F28" s="125"/>
      <c r="G28" s="125"/>
    </row>
    <row r="29" spans="1:50" s="123" customFormat="1">
      <c r="E29" s="124"/>
      <c r="F29" s="125"/>
      <c r="G29" s="125"/>
    </row>
    <row r="30" spans="1:50" s="123" customFormat="1">
      <c r="E30" s="124"/>
      <c r="F30" s="125"/>
      <c r="G30" s="125"/>
    </row>
    <row r="31" spans="1:50" s="123" customFormat="1">
      <c r="E31" s="124"/>
      <c r="F31" s="125"/>
      <c r="G31" s="125"/>
    </row>
    <row r="32" spans="1:50" s="123" customFormat="1">
      <c r="E32" s="124"/>
      <c r="F32" s="125"/>
      <c r="G32" s="125"/>
    </row>
    <row r="33" spans="5:7" s="123" customFormat="1">
      <c r="E33" s="124"/>
      <c r="F33" s="125"/>
      <c r="G33" s="125"/>
    </row>
    <row r="34" spans="5:7" s="123" customFormat="1">
      <c r="E34" s="124"/>
      <c r="F34" s="125"/>
      <c r="G34" s="125"/>
    </row>
    <row r="35" spans="5:7" s="123" customFormat="1">
      <c r="E35" s="124"/>
      <c r="F35" s="125"/>
      <c r="G35" s="125"/>
    </row>
    <row r="36" spans="5:7" s="123" customFormat="1">
      <c r="E36" s="124"/>
      <c r="F36" s="125"/>
      <c r="G36" s="125"/>
    </row>
    <row r="37" spans="5:7" s="123" customFormat="1">
      <c r="E37" s="124"/>
      <c r="F37" s="125"/>
      <c r="G37" s="125"/>
    </row>
    <row r="38" spans="5:7" s="123" customFormat="1">
      <c r="E38" s="124"/>
      <c r="F38" s="125"/>
      <c r="G38" s="125"/>
    </row>
    <row r="39" spans="5:7" s="123" customFormat="1">
      <c r="E39" s="124"/>
      <c r="F39" s="125"/>
      <c r="G39" s="125"/>
    </row>
    <row r="40" spans="5:7" s="123" customFormat="1">
      <c r="E40" s="124"/>
      <c r="F40" s="125"/>
      <c r="G40" s="125"/>
    </row>
    <row r="41" spans="5:7" s="123" customFormat="1">
      <c r="E41" s="124"/>
      <c r="F41" s="125"/>
      <c r="G41" s="125"/>
    </row>
    <row r="42" spans="5:7" s="123" customFormat="1">
      <c r="E42" s="124"/>
      <c r="F42" s="125"/>
      <c r="G42" s="125"/>
    </row>
    <row r="43" spans="5:7" s="123" customFormat="1">
      <c r="E43" s="124"/>
      <c r="F43" s="125"/>
      <c r="G43" s="125"/>
    </row>
    <row r="44" spans="5:7" s="123" customFormat="1">
      <c r="E44" s="124"/>
      <c r="F44" s="125"/>
      <c r="G44" s="125"/>
    </row>
    <row r="45" spans="5:7" s="123" customFormat="1">
      <c r="E45" s="124"/>
      <c r="F45" s="125"/>
      <c r="G45" s="125"/>
    </row>
    <row r="46" spans="5:7" s="123" customFormat="1">
      <c r="E46" s="124"/>
      <c r="F46" s="125"/>
      <c r="G46" s="125"/>
    </row>
    <row r="47" spans="5:7" s="123" customFormat="1">
      <c r="E47" s="124"/>
      <c r="F47" s="125"/>
      <c r="G47" s="125"/>
    </row>
    <row r="48" spans="5:7" s="123" customFormat="1">
      <c r="E48" s="124"/>
      <c r="F48" s="125"/>
      <c r="G48" s="125"/>
    </row>
    <row r="49" spans="5:7" s="123" customFormat="1">
      <c r="E49" s="124"/>
      <c r="F49" s="125"/>
      <c r="G49" s="125"/>
    </row>
    <row r="50" spans="5:7" s="123" customFormat="1">
      <c r="E50" s="124"/>
      <c r="F50" s="125"/>
      <c r="G50" s="125"/>
    </row>
    <row r="51" spans="5:7" s="123" customFormat="1">
      <c r="E51" s="124"/>
      <c r="F51" s="125"/>
      <c r="G51" s="125"/>
    </row>
    <row r="52" spans="5:7" s="123" customFormat="1">
      <c r="E52" s="124"/>
      <c r="F52" s="125"/>
      <c r="G52" s="125"/>
    </row>
    <row r="53" spans="5:7" s="123" customFormat="1">
      <c r="E53" s="124"/>
      <c r="F53" s="125"/>
      <c r="G53" s="125"/>
    </row>
    <row r="54" spans="5:7" s="123" customFormat="1">
      <c r="E54" s="124"/>
      <c r="F54" s="125"/>
      <c r="G54" s="125"/>
    </row>
    <row r="55" spans="5:7" s="123" customFormat="1">
      <c r="E55" s="124"/>
      <c r="F55" s="125"/>
      <c r="G55" s="125"/>
    </row>
    <row r="56" spans="5:7" s="123" customFormat="1">
      <c r="E56" s="124"/>
      <c r="F56" s="125"/>
      <c r="G56" s="125"/>
    </row>
    <row r="57" spans="5:7" s="123" customFormat="1">
      <c r="E57" s="124"/>
      <c r="F57" s="125"/>
      <c r="G57" s="125"/>
    </row>
    <row r="58" spans="5:7" s="123" customFormat="1">
      <c r="E58" s="124"/>
      <c r="F58" s="125"/>
      <c r="G58" s="125"/>
    </row>
    <row r="59" spans="5:7" s="123" customFormat="1">
      <c r="E59" s="124"/>
      <c r="F59" s="125"/>
      <c r="G59" s="125"/>
    </row>
    <row r="60" spans="5:7" s="123" customFormat="1">
      <c r="E60" s="124"/>
      <c r="F60" s="125"/>
      <c r="G60" s="125"/>
    </row>
    <row r="61" spans="5:7" s="123" customFormat="1">
      <c r="E61" s="124"/>
      <c r="F61" s="125"/>
      <c r="G61" s="125"/>
    </row>
    <row r="62" spans="5:7" s="123" customFormat="1">
      <c r="E62" s="124"/>
      <c r="F62" s="125"/>
      <c r="G62" s="125"/>
    </row>
    <row r="63" spans="5:7" s="123" customFormat="1">
      <c r="E63" s="124"/>
      <c r="F63" s="125"/>
      <c r="G63" s="125"/>
    </row>
    <row r="64" spans="5:7" s="123" customFormat="1">
      <c r="E64" s="124"/>
      <c r="F64" s="125"/>
      <c r="G64" s="125"/>
    </row>
    <row r="65" spans="5:7" s="123" customFormat="1">
      <c r="E65" s="124"/>
      <c r="F65" s="125"/>
      <c r="G65" s="125"/>
    </row>
    <row r="66" spans="5:7" s="123" customFormat="1">
      <c r="E66" s="124"/>
      <c r="F66" s="125"/>
      <c r="G66" s="125"/>
    </row>
    <row r="67" spans="5:7" s="123" customFormat="1">
      <c r="E67" s="124"/>
      <c r="F67" s="125"/>
      <c r="G67" s="125"/>
    </row>
    <row r="68" spans="5:7" s="123" customFormat="1">
      <c r="E68" s="124"/>
      <c r="F68" s="125"/>
      <c r="G68" s="125"/>
    </row>
    <row r="69" spans="5:7" s="123" customFormat="1">
      <c r="E69" s="124"/>
      <c r="F69" s="125"/>
      <c r="G69" s="125"/>
    </row>
    <row r="70" spans="5:7" s="123" customFormat="1">
      <c r="E70" s="124"/>
      <c r="F70" s="125"/>
      <c r="G70" s="125"/>
    </row>
    <row r="71" spans="5:7" s="123" customFormat="1">
      <c r="E71" s="124"/>
      <c r="F71" s="125"/>
      <c r="G71" s="125"/>
    </row>
    <row r="72" spans="5:7" s="123" customFormat="1">
      <c r="E72" s="124"/>
      <c r="F72" s="125"/>
      <c r="G72" s="125"/>
    </row>
    <row r="73" spans="5:7" s="123" customFormat="1">
      <c r="E73" s="124"/>
      <c r="F73" s="125"/>
      <c r="G73" s="125"/>
    </row>
    <row r="74" spans="5:7" s="123" customFormat="1">
      <c r="E74" s="124"/>
      <c r="F74" s="125"/>
      <c r="G74" s="125"/>
    </row>
    <row r="75" spans="5:7" s="123" customFormat="1">
      <c r="E75" s="124"/>
      <c r="F75" s="125"/>
      <c r="G75" s="125"/>
    </row>
    <row r="76" spans="5:7" s="123" customFormat="1">
      <c r="E76" s="124"/>
      <c r="F76" s="125"/>
      <c r="G76" s="125"/>
    </row>
    <row r="77" spans="5:7" s="123" customFormat="1">
      <c r="E77" s="124"/>
      <c r="F77" s="125"/>
      <c r="G77" s="125"/>
    </row>
    <row r="78" spans="5:7" s="123" customFormat="1">
      <c r="E78" s="124"/>
      <c r="F78" s="125"/>
      <c r="G78" s="125"/>
    </row>
    <row r="79" spans="5:7" s="123" customFormat="1">
      <c r="E79" s="124"/>
      <c r="F79" s="125"/>
      <c r="G79" s="125"/>
    </row>
    <row r="80" spans="5:7" s="123" customFormat="1">
      <c r="E80" s="124"/>
      <c r="F80" s="125"/>
      <c r="G80" s="125"/>
    </row>
    <row r="81" spans="5:7" s="123" customFormat="1">
      <c r="E81" s="124"/>
      <c r="F81" s="125"/>
      <c r="G81" s="125"/>
    </row>
    <row r="82" spans="5:7" s="123" customFormat="1">
      <c r="E82" s="124"/>
      <c r="F82" s="125"/>
      <c r="G82" s="125"/>
    </row>
    <row r="83" spans="5:7" s="123" customFormat="1">
      <c r="E83" s="124"/>
      <c r="F83" s="125"/>
      <c r="G83" s="125"/>
    </row>
    <row r="84" spans="5:7" s="123" customFormat="1">
      <c r="E84" s="124"/>
      <c r="F84" s="125"/>
      <c r="G84" s="125"/>
    </row>
    <row r="85" spans="5:7" s="123" customFormat="1">
      <c r="E85" s="124"/>
      <c r="F85" s="125"/>
      <c r="G85" s="125"/>
    </row>
    <row r="86" spans="5:7" s="123" customFormat="1">
      <c r="E86" s="124"/>
      <c r="F86" s="125"/>
      <c r="G86" s="125"/>
    </row>
    <row r="87" spans="5:7" s="123" customFormat="1">
      <c r="E87" s="124"/>
      <c r="F87" s="125"/>
      <c r="G87" s="125"/>
    </row>
    <row r="88" spans="5:7" s="123" customFormat="1">
      <c r="E88" s="124"/>
      <c r="F88" s="125"/>
      <c r="G88" s="125"/>
    </row>
    <row r="89" spans="5:7" s="123" customFormat="1">
      <c r="E89" s="124"/>
      <c r="F89" s="125"/>
      <c r="G89" s="125"/>
    </row>
    <row r="90" spans="5:7" s="123" customFormat="1">
      <c r="E90" s="124"/>
      <c r="F90" s="125"/>
      <c r="G90" s="125"/>
    </row>
    <row r="91" spans="5:7" s="123" customFormat="1">
      <c r="E91" s="124"/>
      <c r="F91" s="125"/>
      <c r="G91" s="125"/>
    </row>
    <row r="92" spans="5:7" s="123" customFormat="1">
      <c r="E92" s="124"/>
      <c r="F92" s="125"/>
      <c r="G92" s="125"/>
    </row>
    <row r="93" spans="5:7" s="123" customFormat="1">
      <c r="E93" s="124"/>
      <c r="F93" s="125"/>
      <c r="G93" s="125"/>
    </row>
    <row r="94" spans="5:7" s="123" customFormat="1">
      <c r="E94" s="124"/>
      <c r="F94" s="125"/>
      <c r="G94" s="125"/>
    </row>
    <row r="95" spans="5:7" s="123" customFormat="1">
      <c r="E95" s="124"/>
      <c r="F95" s="125"/>
      <c r="G95" s="125"/>
    </row>
    <row r="96" spans="5:7" s="123" customFormat="1">
      <c r="E96" s="124"/>
      <c r="F96" s="125"/>
      <c r="G96" s="125"/>
    </row>
    <row r="97" spans="5:7" s="123" customFormat="1">
      <c r="E97" s="124"/>
      <c r="F97" s="125"/>
      <c r="G97" s="125"/>
    </row>
    <row r="98" spans="5:7" s="123" customFormat="1">
      <c r="E98" s="124"/>
      <c r="F98" s="125"/>
      <c r="G98" s="125"/>
    </row>
    <row r="99" spans="5:7" s="123" customFormat="1">
      <c r="E99" s="124"/>
      <c r="F99" s="125"/>
      <c r="G99" s="125"/>
    </row>
    <row r="100" spans="5:7" s="123" customFormat="1">
      <c r="E100" s="124"/>
      <c r="F100" s="125"/>
      <c r="G100" s="125"/>
    </row>
    <row r="101" spans="5:7" s="123" customFormat="1">
      <c r="E101" s="124"/>
      <c r="F101" s="125"/>
      <c r="G101" s="125"/>
    </row>
    <row r="102" spans="5:7" s="123" customFormat="1">
      <c r="E102" s="124"/>
      <c r="F102" s="125"/>
      <c r="G102" s="125"/>
    </row>
    <row r="103" spans="5:7" s="123" customFormat="1">
      <c r="E103" s="124"/>
      <c r="F103" s="125"/>
      <c r="G103" s="125"/>
    </row>
    <row r="104" spans="5:7" s="123" customFormat="1">
      <c r="E104" s="124"/>
      <c r="F104" s="125"/>
      <c r="G104" s="125"/>
    </row>
    <row r="105" spans="5:7" s="123" customFormat="1">
      <c r="E105" s="124"/>
      <c r="F105" s="125"/>
      <c r="G105" s="125"/>
    </row>
    <row r="106" spans="5:7" s="123" customFormat="1">
      <c r="E106" s="124"/>
      <c r="F106" s="125"/>
      <c r="G106" s="125"/>
    </row>
    <row r="107" spans="5:7" s="123" customFormat="1">
      <c r="E107" s="124"/>
      <c r="F107" s="125"/>
      <c r="G107" s="125"/>
    </row>
    <row r="108" spans="5:7" s="123" customFormat="1">
      <c r="E108" s="124"/>
      <c r="F108" s="125"/>
      <c r="G108" s="125"/>
    </row>
    <row r="109" spans="5:7" s="123" customFormat="1">
      <c r="E109" s="124"/>
      <c r="F109" s="125"/>
      <c r="G109" s="125"/>
    </row>
    <row r="110" spans="5:7" s="123" customFormat="1">
      <c r="E110" s="124"/>
      <c r="F110" s="125"/>
      <c r="G110" s="125"/>
    </row>
    <row r="111" spans="5:7" s="123" customFormat="1">
      <c r="E111" s="124"/>
      <c r="F111" s="125"/>
      <c r="G111" s="125"/>
    </row>
    <row r="112" spans="5:7" s="123" customFormat="1">
      <c r="E112" s="124"/>
      <c r="F112" s="125"/>
      <c r="G112" s="125"/>
    </row>
    <row r="113" spans="5:7" s="123" customFormat="1">
      <c r="E113" s="124"/>
      <c r="F113" s="125"/>
      <c r="G113" s="125"/>
    </row>
    <row r="114" spans="5:7" s="123" customFormat="1">
      <c r="E114" s="124"/>
      <c r="F114" s="125"/>
      <c r="G114" s="125"/>
    </row>
    <row r="115" spans="5:7" s="123" customFormat="1">
      <c r="E115" s="124"/>
      <c r="F115" s="125"/>
      <c r="G115" s="125"/>
    </row>
    <row r="116" spans="5:7" s="123" customFormat="1">
      <c r="E116" s="124"/>
      <c r="F116" s="125"/>
      <c r="G116" s="125"/>
    </row>
    <row r="117" spans="5:7" s="123" customFormat="1">
      <c r="E117" s="124"/>
      <c r="F117" s="125"/>
      <c r="G117" s="125"/>
    </row>
    <row r="118" spans="5:7" s="123" customFormat="1">
      <c r="E118" s="124"/>
      <c r="F118" s="125"/>
      <c r="G118" s="125"/>
    </row>
    <row r="119" spans="5:7" s="123" customFormat="1">
      <c r="E119" s="124"/>
      <c r="F119" s="125"/>
      <c r="G119" s="125"/>
    </row>
    <row r="120" spans="5:7" s="123" customFormat="1">
      <c r="E120" s="124"/>
      <c r="F120" s="125"/>
      <c r="G120" s="125"/>
    </row>
    <row r="121" spans="5:7" s="123" customFormat="1">
      <c r="E121" s="124"/>
      <c r="F121" s="125"/>
      <c r="G121" s="125"/>
    </row>
    <row r="122" spans="5:7" s="123" customFormat="1">
      <c r="E122" s="124"/>
      <c r="F122" s="125"/>
      <c r="G122" s="125"/>
    </row>
    <row r="123" spans="5:7" s="123" customFormat="1">
      <c r="E123" s="124"/>
      <c r="F123" s="125"/>
      <c r="G123" s="125"/>
    </row>
    <row r="124" spans="5:7" s="123" customFormat="1">
      <c r="E124" s="124"/>
      <c r="F124" s="125"/>
      <c r="G124" s="125"/>
    </row>
    <row r="125" spans="5:7" s="123" customFormat="1">
      <c r="E125" s="124"/>
      <c r="F125" s="125"/>
      <c r="G125" s="125"/>
    </row>
    <row r="126" spans="5:7" s="123" customFormat="1">
      <c r="E126" s="124"/>
      <c r="F126" s="125"/>
      <c r="G126" s="125"/>
    </row>
    <row r="127" spans="5:7" s="123" customFormat="1">
      <c r="E127" s="124"/>
      <c r="F127" s="125"/>
      <c r="G127" s="125"/>
    </row>
    <row r="128" spans="5:7" s="123" customFormat="1">
      <c r="E128" s="124"/>
      <c r="F128" s="125"/>
      <c r="G128" s="125"/>
    </row>
    <row r="129" spans="5:7" s="123" customFormat="1">
      <c r="E129" s="124"/>
      <c r="F129" s="125"/>
      <c r="G129" s="125"/>
    </row>
    <row r="130" spans="5:7" s="123" customFormat="1">
      <c r="E130" s="124"/>
      <c r="F130" s="125"/>
      <c r="G130" s="125"/>
    </row>
    <row r="131" spans="5:7" s="123" customFormat="1">
      <c r="E131" s="124"/>
      <c r="F131" s="125"/>
      <c r="G131" s="125"/>
    </row>
    <row r="132" spans="5:7" s="123" customFormat="1">
      <c r="E132" s="124"/>
      <c r="F132" s="125"/>
      <c r="G132" s="125"/>
    </row>
    <row r="133" spans="5:7" s="123" customFormat="1">
      <c r="E133" s="124"/>
      <c r="F133" s="125"/>
      <c r="G133" s="125"/>
    </row>
    <row r="134" spans="5:7" s="123" customFormat="1">
      <c r="E134" s="124"/>
      <c r="F134" s="125"/>
      <c r="G134" s="125"/>
    </row>
    <row r="135" spans="5:7" s="123" customFormat="1">
      <c r="E135" s="124"/>
      <c r="F135" s="125"/>
      <c r="G135" s="125"/>
    </row>
    <row r="136" spans="5:7" s="123" customFormat="1">
      <c r="E136" s="124"/>
      <c r="F136" s="125"/>
      <c r="G136" s="125"/>
    </row>
    <row r="137" spans="5:7" s="123" customFormat="1">
      <c r="E137" s="124"/>
      <c r="F137" s="125"/>
      <c r="G137" s="125"/>
    </row>
    <row r="138" spans="5:7" s="123" customFormat="1">
      <c r="E138" s="124"/>
      <c r="F138" s="125"/>
      <c r="G138" s="125"/>
    </row>
    <row r="139" spans="5:7" s="123" customFormat="1">
      <c r="E139" s="124"/>
      <c r="F139" s="125"/>
      <c r="G139" s="125"/>
    </row>
    <row r="140" spans="5:7" s="123" customFormat="1">
      <c r="E140" s="124"/>
      <c r="F140" s="125"/>
      <c r="G140" s="125"/>
    </row>
    <row r="141" spans="5:7" s="123" customFormat="1">
      <c r="E141" s="124"/>
      <c r="F141" s="125"/>
      <c r="G141" s="125"/>
    </row>
    <row r="142" spans="5:7" s="123" customFormat="1">
      <c r="E142" s="124"/>
      <c r="F142" s="125"/>
      <c r="G142" s="125"/>
    </row>
    <row r="143" spans="5:7" s="123" customFormat="1">
      <c r="E143" s="124"/>
      <c r="F143" s="125"/>
      <c r="G143" s="125"/>
    </row>
    <row r="144" spans="5:7" s="123" customFormat="1">
      <c r="E144" s="124"/>
      <c r="F144" s="125"/>
      <c r="G144" s="125"/>
    </row>
    <row r="145" spans="5:7" s="123" customFormat="1">
      <c r="E145" s="124"/>
      <c r="F145" s="125"/>
      <c r="G145" s="125"/>
    </row>
    <row r="146" spans="5:7" s="123" customFormat="1">
      <c r="E146" s="124"/>
      <c r="F146" s="125"/>
      <c r="G146" s="125"/>
    </row>
    <row r="147" spans="5:7" s="123" customFormat="1">
      <c r="E147" s="124"/>
      <c r="F147" s="125"/>
      <c r="G147" s="125"/>
    </row>
    <row r="148" spans="5:7" s="123" customFormat="1">
      <c r="E148" s="124"/>
      <c r="F148" s="125"/>
      <c r="G148" s="125"/>
    </row>
    <row r="149" spans="5:7" s="123" customFormat="1">
      <c r="E149" s="124"/>
      <c r="F149" s="125"/>
      <c r="G149" s="125"/>
    </row>
    <row r="150" spans="5:7" s="123" customFormat="1">
      <c r="E150" s="124"/>
      <c r="F150" s="125"/>
      <c r="G150" s="125"/>
    </row>
    <row r="151" spans="5:7" s="123" customFormat="1">
      <c r="E151" s="124"/>
      <c r="F151" s="125"/>
      <c r="G151" s="125"/>
    </row>
    <row r="152" spans="5:7" s="123" customFormat="1">
      <c r="E152" s="124"/>
      <c r="F152" s="125"/>
      <c r="G152" s="125"/>
    </row>
    <row r="153" spans="5:7" s="123" customFormat="1">
      <c r="E153" s="124"/>
      <c r="F153" s="125"/>
      <c r="G153" s="125"/>
    </row>
    <row r="154" spans="5:7" s="123" customFormat="1">
      <c r="E154" s="124"/>
      <c r="F154" s="125"/>
      <c r="G154" s="125"/>
    </row>
    <row r="155" spans="5:7" s="123" customFormat="1">
      <c r="E155" s="124"/>
      <c r="F155" s="125"/>
      <c r="G155" s="125"/>
    </row>
    <row r="156" spans="5:7" s="123" customFormat="1">
      <c r="E156" s="124"/>
      <c r="F156" s="125"/>
      <c r="G156" s="125"/>
    </row>
    <row r="157" spans="5:7" s="123" customFormat="1">
      <c r="E157" s="124"/>
      <c r="F157" s="125"/>
      <c r="G157" s="125"/>
    </row>
    <row r="158" spans="5:7" s="123" customFormat="1">
      <c r="E158" s="124"/>
      <c r="F158" s="125"/>
      <c r="G158" s="125"/>
    </row>
    <row r="159" spans="5:7" s="123" customFormat="1">
      <c r="E159" s="124"/>
      <c r="F159" s="125"/>
      <c r="G159" s="125"/>
    </row>
    <row r="160" spans="5:7" s="123" customFormat="1">
      <c r="E160" s="124"/>
      <c r="F160" s="125"/>
      <c r="G160" s="125"/>
    </row>
    <row r="161" spans="5:7" s="123" customFormat="1">
      <c r="E161" s="124"/>
      <c r="F161" s="125"/>
      <c r="G161" s="125"/>
    </row>
    <row r="162" spans="5:7" s="123" customFormat="1">
      <c r="E162" s="124"/>
      <c r="F162" s="125"/>
      <c r="G162" s="125"/>
    </row>
    <row r="163" spans="5:7" s="123" customFormat="1">
      <c r="E163" s="124"/>
      <c r="F163" s="125"/>
      <c r="G163" s="125"/>
    </row>
    <row r="164" spans="5:7" s="123" customFormat="1">
      <c r="E164" s="124"/>
      <c r="F164" s="125"/>
      <c r="G164" s="125"/>
    </row>
    <row r="165" spans="5:7" s="123" customFormat="1">
      <c r="E165" s="124"/>
      <c r="F165" s="125"/>
      <c r="G165" s="125"/>
    </row>
    <row r="166" spans="5:7" s="123" customFormat="1">
      <c r="E166" s="124"/>
      <c r="F166" s="125"/>
      <c r="G166" s="125"/>
    </row>
    <row r="167" spans="5:7" s="123" customFormat="1">
      <c r="E167" s="124"/>
      <c r="F167" s="125"/>
      <c r="G167" s="125"/>
    </row>
    <row r="168" spans="5:7" s="123" customFormat="1">
      <c r="E168" s="124"/>
      <c r="F168" s="125"/>
      <c r="G168" s="125"/>
    </row>
    <row r="169" spans="5:7" s="123" customFormat="1">
      <c r="E169" s="124"/>
      <c r="F169" s="125"/>
      <c r="G169" s="125"/>
    </row>
    <row r="170" spans="5:7" s="123" customFormat="1">
      <c r="E170" s="124"/>
      <c r="F170" s="125"/>
      <c r="G170" s="125"/>
    </row>
    <row r="171" spans="5:7" s="123" customFormat="1">
      <c r="E171" s="124"/>
      <c r="F171" s="125"/>
      <c r="G171" s="125"/>
    </row>
    <row r="172" spans="5:7" s="123" customFormat="1">
      <c r="E172" s="124"/>
      <c r="F172" s="125"/>
      <c r="G172" s="125"/>
    </row>
    <row r="173" spans="5:7" s="123" customFormat="1">
      <c r="E173" s="124"/>
      <c r="F173" s="125"/>
      <c r="G173" s="125"/>
    </row>
    <row r="174" spans="5:7" s="123" customFormat="1">
      <c r="E174" s="124"/>
      <c r="F174" s="125"/>
      <c r="G174" s="125"/>
    </row>
    <row r="175" spans="5:7" s="123" customFormat="1">
      <c r="E175" s="124"/>
      <c r="F175" s="125"/>
      <c r="G175" s="125"/>
    </row>
    <row r="176" spans="5:7" s="123" customFormat="1">
      <c r="E176" s="124"/>
      <c r="F176" s="125"/>
      <c r="G176" s="125"/>
    </row>
    <row r="177" spans="5:7" s="123" customFormat="1">
      <c r="E177" s="124"/>
      <c r="F177" s="125"/>
      <c r="G177" s="125"/>
    </row>
    <row r="178" spans="5:7" s="123" customFormat="1">
      <c r="E178" s="124"/>
      <c r="F178" s="125"/>
      <c r="G178" s="125"/>
    </row>
    <row r="179" spans="5:7" s="123" customFormat="1">
      <c r="E179" s="124"/>
      <c r="F179" s="125"/>
      <c r="G179" s="125"/>
    </row>
    <row r="180" spans="5:7" s="123" customFormat="1">
      <c r="E180" s="124"/>
      <c r="F180" s="125"/>
      <c r="G180" s="125"/>
    </row>
    <row r="181" spans="5:7" s="123" customFormat="1">
      <c r="E181" s="124"/>
      <c r="F181" s="125"/>
      <c r="G181" s="125"/>
    </row>
    <row r="182" spans="5:7" s="123" customFormat="1">
      <c r="E182" s="124"/>
      <c r="F182" s="125"/>
      <c r="G182" s="125"/>
    </row>
    <row r="183" spans="5:7" s="123" customFormat="1">
      <c r="E183" s="124"/>
      <c r="F183" s="125"/>
      <c r="G183" s="125"/>
    </row>
    <row r="184" spans="5:7" s="123" customFormat="1">
      <c r="E184" s="124"/>
      <c r="F184" s="125"/>
      <c r="G184" s="125"/>
    </row>
    <row r="185" spans="5:7" s="123" customFormat="1">
      <c r="E185" s="124"/>
      <c r="F185" s="125"/>
      <c r="G185" s="125"/>
    </row>
    <row r="186" spans="5:7" s="123" customFormat="1">
      <c r="E186" s="124"/>
      <c r="F186" s="125"/>
      <c r="G186" s="125"/>
    </row>
    <row r="187" spans="5:7" s="123" customFormat="1">
      <c r="E187" s="124"/>
      <c r="F187" s="125"/>
      <c r="G187" s="125"/>
    </row>
    <row r="188" spans="5:7" s="123" customFormat="1">
      <c r="E188" s="124"/>
      <c r="F188" s="125"/>
      <c r="G188" s="125"/>
    </row>
    <row r="189" spans="5:7" s="123" customFormat="1">
      <c r="E189" s="124"/>
      <c r="F189" s="125"/>
      <c r="G189" s="125"/>
    </row>
    <row r="190" spans="5:7" s="123" customFormat="1">
      <c r="E190" s="124"/>
      <c r="F190" s="125"/>
      <c r="G190" s="125"/>
    </row>
    <row r="191" spans="5:7" s="123" customFormat="1">
      <c r="E191" s="124"/>
      <c r="F191" s="125"/>
      <c r="G191" s="125"/>
    </row>
    <row r="192" spans="5:7" s="123" customFormat="1">
      <c r="E192" s="124"/>
      <c r="F192" s="125"/>
      <c r="G192" s="125"/>
    </row>
    <row r="193" spans="5:7" s="123" customFormat="1">
      <c r="E193" s="124"/>
      <c r="F193" s="125"/>
      <c r="G193" s="125"/>
    </row>
    <row r="194" spans="5:7" s="123" customFormat="1">
      <c r="E194" s="124"/>
      <c r="F194" s="125"/>
      <c r="G194" s="125"/>
    </row>
    <row r="195" spans="5:7" s="123" customFormat="1">
      <c r="E195" s="124"/>
      <c r="F195" s="125"/>
      <c r="G195" s="125"/>
    </row>
    <row r="196" spans="5:7" s="123" customFormat="1">
      <c r="E196" s="124"/>
      <c r="F196" s="125"/>
      <c r="G196" s="125"/>
    </row>
    <row r="197" spans="5:7" s="123" customFormat="1">
      <c r="E197" s="124"/>
      <c r="F197" s="125"/>
      <c r="G197" s="125"/>
    </row>
    <row r="198" spans="5:7" s="123" customFormat="1">
      <c r="E198" s="124"/>
      <c r="F198" s="125"/>
      <c r="G198" s="125"/>
    </row>
    <row r="199" spans="5:7" s="123" customFormat="1">
      <c r="E199" s="124"/>
      <c r="F199" s="125"/>
      <c r="G199" s="125"/>
    </row>
    <row r="200" spans="5:7" s="123" customFormat="1">
      <c r="E200" s="124"/>
      <c r="F200" s="125"/>
      <c r="G200" s="125"/>
    </row>
    <row r="201" spans="5:7" s="123" customFormat="1">
      <c r="E201" s="124"/>
      <c r="F201" s="125"/>
      <c r="G201" s="125"/>
    </row>
    <row r="202" spans="5:7" s="123" customFormat="1">
      <c r="E202" s="124"/>
      <c r="F202" s="125"/>
      <c r="G202" s="125"/>
    </row>
    <row r="203" spans="5:7" s="123" customFormat="1">
      <c r="E203" s="124"/>
      <c r="F203" s="125"/>
      <c r="G203" s="125"/>
    </row>
    <row r="204" spans="5:7" s="123" customFormat="1">
      <c r="E204" s="124"/>
      <c r="F204" s="125"/>
      <c r="G204" s="125"/>
    </row>
    <row r="205" spans="5:7" s="123" customFormat="1">
      <c r="E205" s="124"/>
      <c r="F205" s="125"/>
      <c r="G205" s="125"/>
    </row>
    <row r="206" spans="5:7" s="123" customFormat="1">
      <c r="E206" s="124"/>
      <c r="F206" s="125"/>
      <c r="G206" s="125"/>
    </row>
    <row r="207" spans="5:7" s="123" customFormat="1">
      <c r="E207" s="124"/>
      <c r="F207" s="125"/>
      <c r="G207" s="125"/>
    </row>
    <row r="208" spans="5:7" s="123" customFormat="1">
      <c r="E208" s="124"/>
      <c r="F208" s="125"/>
      <c r="G208" s="125"/>
    </row>
    <row r="209" spans="5:7" s="123" customFormat="1">
      <c r="E209" s="124"/>
      <c r="F209" s="125"/>
      <c r="G209" s="125"/>
    </row>
    <row r="210" spans="5:7" s="123" customFormat="1">
      <c r="E210" s="124"/>
      <c r="F210" s="125"/>
      <c r="G210" s="125"/>
    </row>
    <row r="211" spans="5:7" s="123" customFormat="1">
      <c r="E211" s="124"/>
      <c r="F211" s="125"/>
      <c r="G211" s="125"/>
    </row>
    <row r="212" spans="5:7" s="123" customFormat="1">
      <c r="E212" s="124"/>
      <c r="F212" s="125"/>
      <c r="G212" s="125"/>
    </row>
    <row r="213" spans="5:7" s="123" customFormat="1">
      <c r="E213" s="124"/>
      <c r="F213" s="125"/>
      <c r="G213" s="125"/>
    </row>
    <row r="214" spans="5:7" s="123" customFormat="1">
      <c r="E214" s="124"/>
      <c r="F214" s="125"/>
      <c r="G214" s="125"/>
    </row>
    <row r="215" spans="5:7" s="123" customFormat="1">
      <c r="E215" s="124"/>
      <c r="F215" s="125"/>
      <c r="G215" s="125"/>
    </row>
    <row r="216" spans="5:7" s="123" customFormat="1">
      <c r="E216" s="124"/>
      <c r="F216" s="125"/>
      <c r="G216" s="125"/>
    </row>
    <row r="217" spans="5:7" s="123" customFormat="1">
      <c r="E217" s="124"/>
      <c r="F217" s="125"/>
      <c r="G217" s="125"/>
    </row>
    <row r="218" spans="5:7" s="123" customFormat="1">
      <c r="E218" s="124"/>
      <c r="F218" s="125"/>
      <c r="G218" s="125"/>
    </row>
    <row r="219" spans="5:7" s="123" customFormat="1">
      <c r="E219" s="124"/>
      <c r="F219" s="125"/>
      <c r="G219" s="125"/>
    </row>
    <row r="220" spans="5:7" s="123" customFormat="1">
      <c r="E220" s="124"/>
      <c r="F220" s="125"/>
      <c r="G220" s="125"/>
    </row>
    <row r="221" spans="5:7" s="123" customFormat="1">
      <c r="E221" s="124"/>
      <c r="F221" s="125"/>
      <c r="G221" s="125"/>
    </row>
    <row r="222" spans="5:7" s="123" customFormat="1">
      <c r="E222" s="124"/>
      <c r="F222" s="125"/>
      <c r="G222" s="125"/>
    </row>
    <row r="223" spans="5:7" s="123" customFormat="1">
      <c r="E223" s="124"/>
      <c r="F223" s="125"/>
      <c r="G223" s="125"/>
    </row>
    <row r="224" spans="5:7" s="123" customFormat="1">
      <c r="E224" s="124"/>
      <c r="F224" s="125"/>
      <c r="G224" s="125"/>
    </row>
    <row r="225" spans="5:7" s="123" customFormat="1">
      <c r="E225" s="124"/>
      <c r="F225" s="125"/>
      <c r="G225" s="125"/>
    </row>
    <row r="226" spans="5:7" s="123" customFormat="1">
      <c r="E226" s="124"/>
      <c r="F226" s="125"/>
      <c r="G226" s="125"/>
    </row>
    <row r="227" spans="5:7" s="123" customFormat="1">
      <c r="E227" s="124"/>
      <c r="F227" s="125"/>
      <c r="G227" s="125"/>
    </row>
    <row r="228" spans="5:7" s="123" customFormat="1">
      <c r="E228" s="124"/>
      <c r="F228" s="125"/>
      <c r="G228" s="125"/>
    </row>
    <row r="229" spans="5:7" s="123" customFormat="1">
      <c r="E229" s="124"/>
      <c r="F229" s="125"/>
      <c r="G229" s="125"/>
    </row>
    <row r="230" spans="5:7" s="123" customFormat="1">
      <c r="E230" s="124"/>
      <c r="F230" s="125"/>
      <c r="G230" s="125"/>
    </row>
    <row r="231" spans="5:7" s="123" customFormat="1">
      <c r="E231" s="124"/>
      <c r="F231" s="125"/>
      <c r="G231" s="125"/>
    </row>
    <row r="232" spans="5:7" s="123" customFormat="1">
      <c r="E232" s="124"/>
      <c r="F232" s="125"/>
      <c r="G232" s="125"/>
    </row>
    <row r="233" spans="5:7" s="123" customFormat="1">
      <c r="E233" s="124"/>
      <c r="F233" s="125"/>
      <c r="G233" s="125"/>
    </row>
    <row r="234" spans="5:7" s="123" customFormat="1">
      <c r="E234" s="124"/>
      <c r="F234" s="125"/>
      <c r="G234" s="125"/>
    </row>
    <row r="235" spans="5:7" s="123" customFormat="1">
      <c r="E235" s="124"/>
      <c r="F235" s="125"/>
      <c r="G235" s="125"/>
    </row>
    <row r="236" spans="5:7" s="123" customFormat="1">
      <c r="E236" s="124"/>
      <c r="F236" s="125"/>
      <c r="G236" s="125"/>
    </row>
    <row r="237" spans="5:7" s="123" customFormat="1">
      <c r="E237" s="124"/>
      <c r="F237" s="125"/>
      <c r="G237" s="125"/>
    </row>
    <row r="238" spans="5:7" s="123" customFormat="1">
      <c r="E238" s="124"/>
      <c r="F238" s="125"/>
      <c r="G238" s="125"/>
    </row>
    <row r="239" spans="5:7" s="123" customFormat="1">
      <c r="E239" s="124"/>
      <c r="F239" s="125"/>
      <c r="G239" s="125"/>
    </row>
    <row r="240" spans="5:7" s="123" customFormat="1">
      <c r="E240" s="124"/>
      <c r="F240" s="125"/>
      <c r="G240" s="125"/>
    </row>
    <row r="241" spans="5:7" s="123" customFormat="1">
      <c r="E241" s="124"/>
      <c r="F241" s="125"/>
      <c r="G241" s="125"/>
    </row>
    <row r="242" spans="5:7" s="123" customFormat="1">
      <c r="E242" s="124"/>
      <c r="F242" s="125"/>
      <c r="G242" s="125"/>
    </row>
    <row r="243" spans="5:7" s="123" customFormat="1">
      <c r="E243" s="124"/>
      <c r="F243" s="125"/>
      <c r="G243" s="125"/>
    </row>
    <row r="244" spans="5:7" s="123" customFormat="1">
      <c r="E244" s="124"/>
      <c r="F244" s="125"/>
      <c r="G244" s="125"/>
    </row>
    <row r="245" spans="5:7" s="123" customFormat="1">
      <c r="E245" s="124"/>
      <c r="F245" s="125"/>
      <c r="G245" s="125"/>
    </row>
    <row r="246" spans="5:7" s="123" customFormat="1">
      <c r="E246" s="124"/>
      <c r="F246" s="125"/>
      <c r="G246" s="125"/>
    </row>
    <row r="247" spans="5:7" s="123" customFormat="1">
      <c r="E247" s="124"/>
      <c r="F247" s="125"/>
      <c r="G247" s="125"/>
    </row>
    <row r="248" spans="5:7" s="123" customFormat="1">
      <c r="E248" s="124"/>
      <c r="F248" s="125"/>
      <c r="G248" s="125"/>
    </row>
    <row r="249" spans="5:7" s="123" customFormat="1">
      <c r="E249" s="124"/>
      <c r="F249" s="125"/>
      <c r="G249" s="125"/>
    </row>
    <row r="250" spans="5:7" s="123" customFormat="1">
      <c r="E250" s="124"/>
      <c r="F250" s="125"/>
      <c r="G250" s="125"/>
    </row>
    <row r="251" spans="5:7" s="123" customFormat="1">
      <c r="E251" s="124"/>
      <c r="F251" s="125"/>
      <c r="G251" s="125"/>
    </row>
    <row r="252" spans="5:7" s="123" customFormat="1">
      <c r="E252" s="124"/>
      <c r="F252" s="125"/>
      <c r="G252" s="125"/>
    </row>
    <row r="253" spans="5:7" s="123" customFormat="1">
      <c r="E253" s="124"/>
      <c r="F253" s="125"/>
      <c r="G253" s="125"/>
    </row>
    <row r="254" spans="5:7" s="123" customFormat="1">
      <c r="E254" s="124"/>
      <c r="F254" s="125"/>
      <c r="G254" s="125"/>
    </row>
    <row r="255" spans="5:7" s="123" customFormat="1">
      <c r="E255" s="124"/>
      <c r="F255" s="125"/>
      <c r="G255" s="125"/>
    </row>
    <row r="256" spans="5:7" s="123" customFormat="1">
      <c r="E256" s="124"/>
      <c r="F256" s="125"/>
      <c r="G256" s="125"/>
    </row>
    <row r="257" spans="5:7" s="123" customFormat="1">
      <c r="E257" s="124"/>
      <c r="F257" s="125"/>
      <c r="G257" s="125"/>
    </row>
    <row r="258" spans="5:7" s="123" customFormat="1">
      <c r="E258" s="124"/>
      <c r="F258" s="125"/>
      <c r="G258" s="125"/>
    </row>
    <row r="259" spans="5:7" s="123" customFormat="1">
      <c r="E259" s="124"/>
      <c r="F259" s="125"/>
      <c r="G259" s="125"/>
    </row>
    <row r="260" spans="5:7" s="123" customFormat="1">
      <c r="E260" s="124"/>
      <c r="F260" s="125"/>
      <c r="G260" s="125"/>
    </row>
    <row r="261" spans="5:7" s="123" customFormat="1">
      <c r="E261" s="124"/>
      <c r="F261" s="125"/>
      <c r="G261" s="125"/>
    </row>
    <row r="262" spans="5:7" s="123" customFormat="1">
      <c r="E262" s="124"/>
      <c r="F262" s="125"/>
      <c r="G262" s="125"/>
    </row>
    <row r="263" spans="5:7" s="123" customFormat="1">
      <c r="E263" s="124"/>
      <c r="F263" s="125"/>
      <c r="G263" s="125"/>
    </row>
    <row r="264" spans="5:7" s="123" customFormat="1">
      <c r="E264" s="124"/>
      <c r="F264" s="125"/>
      <c r="G264" s="125"/>
    </row>
    <row r="265" spans="5:7" s="123" customFormat="1">
      <c r="E265" s="124"/>
      <c r="F265" s="125"/>
      <c r="G265" s="125"/>
    </row>
    <row r="266" spans="5:7" s="123" customFormat="1">
      <c r="E266" s="124"/>
      <c r="F266" s="125"/>
      <c r="G266" s="125"/>
    </row>
    <row r="267" spans="5:7" s="123" customFormat="1">
      <c r="E267" s="124"/>
      <c r="F267" s="125"/>
      <c r="G267" s="125"/>
    </row>
    <row r="268" spans="5:7" s="123" customFormat="1">
      <c r="E268" s="124"/>
      <c r="F268" s="125"/>
      <c r="G268" s="125"/>
    </row>
    <row r="269" spans="5:7" s="123" customFormat="1">
      <c r="E269" s="124"/>
      <c r="F269" s="125"/>
      <c r="G269" s="125"/>
    </row>
    <row r="270" spans="5:7" s="123" customFormat="1">
      <c r="E270" s="124"/>
      <c r="F270" s="125"/>
      <c r="G270" s="125"/>
    </row>
    <row r="271" spans="5:7" s="123" customFormat="1">
      <c r="E271" s="124"/>
      <c r="F271" s="125"/>
      <c r="G271" s="125"/>
    </row>
    <row r="272" spans="5:7" s="123" customFormat="1">
      <c r="E272" s="124"/>
      <c r="F272" s="125"/>
      <c r="G272" s="125"/>
    </row>
    <row r="273" spans="5:7" s="123" customFormat="1">
      <c r="E273" s="124"/>
      <c r="F273" s="125"/>
      <c r="G273" s="125"/>
    </row>
    <row r="274" spans="5:7" s="123" customFormat="1">
      <c r="E274" s="124"/>
      <c r="F274" s="125"/>
      <c r="G274" s="125"/>
    </row>
    <row r="275" spans="5:7" s="123" customFormat="1">
      <c r="E275" s="124"/>
      <c r="F275" s="125"/>
      <c r="G275" s="125"/>
    </row>
    <row r="276" spans="5:7" s="123" customFormat="1">
      <c r="E276" s="124"/>
      <c r="F276" s="125"/>
      <c r="G276" s="125"/>
    </row>
    <row r="277" spans="5:7" s="123" customFormat="1">
      <c r="E277" s="124"/>
      <c r="F277" s="125"/>
      <c r="G277" s="125"/>
    </row>
    <row r="278" spans="5:7" s="123" customFormat="1">
      <c r="E278" s="124"/>
      <c r="F278" s="125"/>
      <c r="G278" s="125"/>
    </row>
    <row r="279" spans="5:7" s="123" customFormat="1">
      <c r="E279" s="124"/>
      <c r="F279" s="125"/>
      <c r="G279" s="125"/>
    </row>
    <row r="280" spans="5:7" s="123" customFormat="1">
      <c r="E280" s="124"/>
      <c r="F280" s="125"/>
      <c r="G280" s="125"/>
    </row>
    <row r="281" spans="5:7" s="123" customFormat="1">
      <c r="E281" s="124"/>
      <c r="F281" s="125"/>
      <c r="G281" s="125"/>
    </row>
    <row r="282" spans="5:7" s="123" customFormat="1">
      <c r="E282" s="124"/>
      <c r="F282" s="125"/>
      <c r="G282" s="125"/>
    </row>
    <row r="283" spans="5:7" s="123" customFormat="1">
      <c r="E283" s="124"/>
      <c r="F283" s="125"/>
      <c r="G283" s="125"/>
    </row>
    <row r="284" spans="5:7" s="123" customFormat="1">
      <c r="E284" s="124"/>
      <c r="F284" s="125"/>
      <c r="G284" s="125"/>
    </row>
    <row r="285" spans="5:7" s="123" customFormat="1">
      <c r="E285" s="124"/>
      <c r="F285" s="125"/>
      <c r="G285" s="125"/>
    </row>
    <row r="286" spans="5:7" s="123" customFormat="1">
      <c r="E286" s="124"/>
      <c r="F286" s="125"/>
      <c r="G286" s="125"/>
    </row>
    <row r="287" spans="5:7" s="123" customFormat="1">
      <c r="E287" s="124"/>
      <c r="F287" s="125"/>
      <c r="G287" s="125"/>
    </row>
    <row r="288" spans="5:7" s="123" customFormat="1">
      <c r="E288" s="124"/>
      <c r="F288" s="125"/>
      <c r="G288" s="125"/>
    </row>
    <row r="289" spans="5:7" s="123" customFormat="1">
      <c r="E289" s="124"/>
      <c r="F289" s="125"/>
      <c r="G289" s="125"/>
    </row>
    <row r="290" spans="5:7" s="123" customFormat="1">
      <c r="E290" s="124"/>
      <c r="F290" s="125"/>
      <c r="G290" s="125"/>
    </row>
    <row r="291" spans="5:7" s="123" customFormat="1">
      <c r="E291" s="124"/>
      <c r="F291" s="125"/>
      <c r="G291" s="125"/>
    </row>
    <row r="292" spans="5:7" s="123" customFormat="1">
      <c r="E292" s="124"/>
      <c r="F292" s="125"/>
      <c r="G292" s="125"/>
    </row>
    <row r="293" spans="5:7" s="123" customFormat="1">
      <c r="E293" s="124"/>
      <c r="F293" s="125"/>
      <c r="G293" s="125"/>
    </row>
    <row r="294" spans="5:7" s="123" customFormat="1">
      <c r="E294" s="124"/>
      <c r="F294" s="125"/>
      <c r="G294" s="125"/>
    </row>
    <row r="295" spans="5:7" s="123" customFormat="1">
      <c r="E295" s="124"/>
      <c r="F295" s="125"/>
      <c r="G295" s="125"/>
    </row>
    <row r="296" spans="5:7" s="123" customFormat="1">
      <c r="E296" s="124"/>
      <c r="F296" s="125"/>
      <c r="G296" s="125"/>
    </row>
    <row r="297" spans="5:7" s="123" customFormat="1">
      <c r="E297" s="124"/>
      <c r="F297" s="125"/>
      <c r="G297" s="125"/>
    </row>
    <row r="298" spans="5:7" s="123" customFormat="1">
      <c r="E298" s="124"/>
      <c r="F298" s="125"/>
      <c r="G298" s="125"/>
    </row>
    <row r="299" spans="5:7" s="123" customFormat="1">
      <c r="E299" s="124"/>
      <c r="F299" s="125"/>
      <c r="G299" s="125"/>
    </row>
    <row r="300" spans="5:7" s="123" customFormat="1">
      <c r="E300" s="124"/>
      <c r="F300" s="125"/>
      <c r="G300" s="125"/>
    </row>
    <row r="301" spans="5:7" s="123" customFormat="1">
      <c r="E301" s="124"/>
      <c r="F301" s="125"/>
      <c r="G301" s="125"/>
    </row>
    <row r="302" spans="5:7" s="123" customFormat="1">
      <c r="E302" s="124"/>
      <c r="F302" s="125"/>
      <c r="G302" s="125"/>
    </row>
    <row r="303" spans="5:7" s="123" customFormat="1">
      <c r="E303" s="124"/>
      <c r="F303" s="125"/>
      <c r="G303" s="125"/>
    </row>
    <row r="304" spans="5:7" s="123" customFormat="1">
      <c r="E304" s="124"/>
      <c r="F304" s="125"/>
      <c r="G304" s="125"/>
    </row>
    <row r="305" spans="5:7" s="123" customFormat="1">
      <c r="E305" s="124"/>
      <c r="F305" s="125"/>
      <c r="G305" s="125"/>
    </row>
    <row r="306" spans="5:7" s="123" customFormat="1">
      <c r="E306" s="124"/>
      <c r="F306" s="125"/>
      <c r="G306" s="125"/>
    </row>
    <row r="307" spans="5:7" s="123" customFormat="1">
      <c r="E307" s="124"/>
      <c r="F307" s="125"/>
      <c r="G307" s="125"/>
    </row>
    <row r="308" spans="5:7" s="123" customFormat="1">
      <c r="E308" s="124"/>
      <c r="F308" s="125"/>
      <c r="G308" s="125"/>
    </row>
    <row r="309" spans="5:7" s="123" customFormat="1">
      <c r="E309" s="124"/>
      <c r="F309" s="125"/>
      <c r="G309" s="125"/>
    </row>
    <row r="310" spans="5:7" s="123" customFormat="1">
      <c r="E310" s="124"/>
      <c r="F310" s="125"/>
      <c r="G310" s="125"/>
    </row>
    <row r="311" spans="5:7" s="123" customFormat="1">
      <c r="E311" s="124"/>
      <c r="F311" s="125"/>
      <c r="G311" s="125"/>
    </row>
    <row r="312" spans="5:7" s="123" customFormat="1">
      <c r="E312" s="124"/>
      <c r="F312" s="125"/>
      <c r="G312" s="125"/>
    </row>
    <row r="313" spans="5:7" s="123" customFormat="1">
      <c r="E313" s="124"/>
      <c r="F313" s="125"/>
      <c r="G313" s="125"/>
    </row>
    <row r="314" spans="5:7" s="123" customFormat="1">
      <c r="E314" s="124"/>
      <c r="F314" s="125"/>
      <c r="G314" s="125"/>
    </row>
    <row r="315" spans="5:7" s="123" customFormat="1">
      <c r="E315" s="124"/>
      <c r="F315" s="125"/>
      <c r="G315" s="125"/>
    </row>
    <row r="316" spans="5:7" s="123" customFormat="1">
      <c r="E316" s="124"/>
      <c r="F316" s="125"/>
      <c r="G316" s="125"/>
    </row>
    <row r="317" spans="5:7" s="123" customFormat="1">
      <c r="E317" s="124"/>
      <c r="F317" s="125"/>
      <c r="G317" s="125"/>
    </row>
    <row r="318" spans="5:7" s="123" customFormat="1">
      <c r="E318" s="124"/>
      <c r="F318" s="125"/>
      <c r="G318" s="125"/>
    </row>
    <row r="319" spans="5:7" s="123" customFormat="1">
      <c r="E319" s="124"/>
      <c r="F319" s="125"/>
      <c r="G319" s="125"/>
    </row>
    <row r="320" spans="5:7" s="123" customFormat="1">
      <c r="E320" s="124"/>
      <c r="F320" s="125"/>
      <c r="G320" s="125"/>
    </row>
    <row r="321" spans="5:7" s="123" customFormat="1">
      <c r="E321" s="124"/>
      <c r="F321" s="125"/>
      <c r="G321" s="125"/>
    </row>
    <row r="322" spans="5:7" s="123" customFormat="1">
      <c r="E322" s="124"/>
      <c r="F322" s="125"/>
      <c r="G322" s="125"/>
    </row>
    <row r="323" spans="5:7" s="123" customFormat="1">
      <c r="E323" s="124"/>
      <c r="F323" s="125"/>
      <c r="G323" s="125"/>
    </row>
    <row r="324" spans="5:7" s="123" customFormat="1">
      <c r="E324" s="124"/>
      <c r="F324" s="125"/>
      <c r="G324" s="125"/>
    </row>
    <row r="325" spans="5:7" s="123" customFormat="1">
      <c r="E325" s="124"/>
      <c r="F325" s="125"/>
      <c r="G325" s="125"/>
    </row>
    <row r="326" spans="5:7" s="123" customFormat="1">
      <c r="E326" s="124"/>
      <c r="F326" s="125"/>
      <c r="G326" s="125"/>
    </row>
    <row r="327" spans="5:7" s="123" customFormat="1">
      <c r="E327" s="124"/>
      <c r="F327" s="125"/>
      <c r="G327" s="125"/>
    </row>
    <row r="328" spans="5:7" s="123" customFormat="1">
      <c r="E328" s="124"/>
      <c r="F328" s="125"/>
      <c r="G328" s="125"/>
    </row>
    <row r="329" spans="5:7" s="123" customFormat="1">
      <c r="E329" s="124"/>
      <c r="F329" s="125"/>
      <c r="G329" s="125"/>
    </row>
    <row r="330" spans="5:7" s="123" customFormat="1">
      <c r="E330" s="124"/>
      <c r="F330" s="125"/>
      <c r="G330" s="125"/>
    </row>
    <row r="331" spans="5:7" s="123" customFormat="1">
      <c r="E331" s="124"/>
      <c r="F331" s="125"/>
      <c r="G331" s="125"/>
    </row>
    <row r="332" spans="5:7" s="123" customFormat="1">
      <c r="E332" s="124"/>
      <c r="F332" s="125"/>
      <c r="G332" s="125"/>
    </row>
    <row r="333" spans="5:7" s="123" customFormat="1">
      <c r="E333" s="124"/>
      <c r="F333" s="125"/>
      <c r="G333" s="125"/>
    </row>
    <row r="334" spans="5:7" s="123" customFormat="1">
      <c r="E334" s="124"/>
      <c r="F334" s="125"/>
      <c r="G334" s="125"/>
    </row>
    <row r="335" spans="5:7" s="123" customFormat="1">
      <c r="E335" s="124"/>
      <c r="F335" s="125"/>
      <c r="G335" s="125"/>
    </row>
    <row r="336" spans="5:7" s="123" customFormat="1">
      <c r="E336" s="124"/>
      <c r="F336" s="125"/>
      <c r="G336" s="125"/>
    </row>
    <row r="337" spans="5:43" s="123" customFormat="1">
      <c r="E337" s="124"/>
      <c r="F337" s="125"/>
      <c r="G337" s="125"/>
    </row>
    <row r="338" spans="5:43" s="123" customFormat="1">
      <c r="E338" s="124"/>
      <c r="F338" s="125"/>
      <c r="G338" s="125"/>
    </row>
    <row r="339" spans="5:43" s="123" customFormat="1">
      <c r="E339" s="124"/>
      <c r="F339" s="125"/>
      <c r="G339" s="125"/>
    </row>
    <row r="340" spans="5:43" s="123" customFormat="1">
      <c r="E340" s="124"/>
      <c r="F340" s="125"/>
      <c r="G340" s="125"/>
    </row>
    <row r="341" spans="5:43" s="123" customFormat="1">
      <c r="E341" s="124"/>
      <c r="F341" s="125"/>
      <c r="G341" s="125"/>
    </row>
    <row r="342" spans="5:43" s="123" customFormat="1">
      <c r="E342" s="124"/>
      <c r="F342" s="125"/>
      <c r="G342" s="125"/>
    </row>
    <row r="343" spans="5:43" s="123" customFormat="1">
      <c r="E343" s="124"/>
      <c r="F343" s="125"/>
      <c r="G343" s="125"/>
    </row>
    <row r="344" spans="5:43" s="123" customFormat="1">
      <c r="E344" s="124"/>
      <c r="F344" s="125"/>
      <c r="G344" s="125"/>
    </row>
    <row r="345" spans="5:43" s="106" customFormat="1">
      <c r="E345" s="107"/>
      <c r="F345" s="108"/>
      <c r="G345" s="108"/>
      <c r="Y345" s="129"/>
      <c r="Z345" s="123"/>
      <c r="AA345" s="123"/>
      <c r="AB345" s="123"/>
      <c r="AC345" s="123"/>
      <c r="AD345" s="123"/>
      <c r="AE345" s="123"/>
      <c r="AF345" s="123"/>
      <c r="AG345" s="123"/>
      <c r="AH345" s="123"/>
      <c r="AI345" s="123"/>
      <c r="AJ345" s="123"/>
      <c r="AK345" s="123"/>
      <c r="AL345" s="123"/>
      <c r="AM345" s="123"/>
      <c r="AN345" s="123"/>
      <c r="AO345" s="123"/>
      <c r="AP345" s="123"/>
      <c r="AQ345" s="132"/>
    </row>
  </sheetData>
  <mergeCells count="1">
    <mergeCell ref="A21:D21"/>
  </mergeCells>
  <phoneticPr fontId="16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B45D6-8611-4DB6-BBCF-8157AB1EAF56}">
  <sheetPr>
    <tabColor theme="9" tint="0.39997558519241921"/>
  </sheetPr>
  <dimension ref="A1:AX136"/>
  <sheetViews>
    <sheetView zoomScale="70" zoomScaleNormal="70" workbookViewId="0">
      <selection activeCell="G27" sqref="G27"/>
    </sheetView>
  </sheetViews>
  <sheetFormatPr baseColWidth="10" defaultColWidth="18.3984375" defaultRowHeight="14.25"/>
  <cols>
    <col min="1" max="4" width="18.3984375" style="91" customWidth="1"/>
    <col min="5" max="5" width="18.3984375" style="92" customWidth="1"/>
    <col min="6" max="7" width="18.3984375" style="78" customWidth="1"/>
    <col min="8" max="24" width="18.3984375" style="91"/>
    <col min="25" max="25" width="18.3984375" style="130"/>
    <col min="26" max="49" width="18.3984375" style="123"/>
    <col min="50" max="16384" width="18.3984375" style="91"/>
  </cols>
  <sheetData>
    <row r="1" spans="1:49" s="90" customFormat="1" ht="36.6" customHeight="1">
      <c r="A1" s="88" t="s">
        <v>176</v>
      </c>
      <c r="B1" s="88" t="s">
        <v>179</v>
      </c>
      <c r="C1" s="88" t="s">
        <v>187</v>
      </c>
      <c r="D1" s="88" t="s">
        <v>74</v>
      </c>
      <c r="E1" s="88" t="s">
        <v>188</v>
      </c>
      <c r="F1" s="88" t="s">
        <v>189</v>
      </c>
      <c r="G1" s="88" t="s">
        <v>52</v>
      </c>
      <c r="H1" s="89" t="s">
        <v>212</v>
      </c>
      <c r="I1" s="89" t="s">
        <v>213</v>
      </c>
      <c r="J1" s="89" t="s">
        <v>214</v>
      </c>
      <c r="K1" s="89" t="s">
        <v>215</v>
      </c>
      <c r="L1" s="89" t="s">
        <v>216</v>
      </c>
      <c r="M1" s="89" t="s">
        <v>217</v>
      </c>
      <c r="N1" s="89" t="s">
        <v>218</v>
      </c>
      <c r="O1" s="89" t="s">
        <v>219</v>
      </c>
      <c r="P1" s="89" t="s">
        <v>220</v>
      </c>
      <c r="Q1" s="89" t="s">
        <v>221</v>
      </c>
      <c r="R1" s="89" t="s">
        <v>222</v>
      </c>
      <c r="S1" s="89" t="s">
        <v>223</v>
      </c>
      <c r="T1" s="89" t="s">
        <v>224</v>
      </c>
      <c r="U1" s="89" t="s">
        <v>225</v>
      </c>
      <c r="V1" s="89" t="s">
        <v>226</v>
      </c>
      <c r="W1" s="89" t="s">
        <v>227</v>
      </c>
      <c r="X1" s="89" t="s">
        <v>228</v>
      </c>
      <c r="Y1" s="126" t="s">
        <v>229</v>
      </c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</row>
    <row r="2" spans="1:49">
      <c r="A2" s="75" t="s">
        <v>230</v>
      </c>
      <c r="B2" s="75" t="s">
        <v>231</v>
      </c>
      <c r="C2" s="75" t="s">
        <v>230</v>
      </c>
      <c r="D2" s="75" t="s">
        <v>27</v>
      </c>
      <c r="E2" s="76">
        <v>79316865070</v>
      </c>
      <c r="F2" s="77">
        <v>4</v>
      </c>
      <c r="G2" s="94">
        <v>2036</v>
      </c>
      <c r="H2" s="94">
        <v>0</v>
      </c>
      <c r="I2" s="94">
        <v>0</v>
      </c>
      <c r="J2" s="94">
        <v>0</v>
      </c>
      <c r="K2" s="94">
        <v>0</v>
      </c>
      <c r="L2" s="94">
        <v>0</v>
      </c>
      <c r="M2" s="94">
        <v>0</v>
      </c>
      <c r="N2" s="94">
        <v>0</v>
      </c>
      <c r="O2" s="94">
        <v>0</v>
      </c>
      <c r="P2" s="94">
        <v>0</v>
      </c>
      <c r="Q2" s="94">
        <v>0</v>
      </c>
      <c r="R2" s="94">
        <v>0</v>
      </c>
      <c r="S2" s="94">
        <v>0</v>
      </c>
      <c r="T2" s="94">
        <v>0</v>
      </c>
      <c r="U2" s="94">
        <v>0</v>
      </c>
      <c r="V2" s="94">
        <v>0</v>
      </c>
      <c r="W2" s="94">
        <v>0</v>
      </c>
      <c r="X2" s="94">
        <v>0</v>
      </c>
      <c r="Y2" s="127">
        <v>0</v>
      </c>
    </row>
    <row r="3" spans="1:49">
      <c r="A3" s="75" t="s">
        <v>232</v>
      </c>
      <c r="B3" s="75" t="s">
        <v>231</v>
      </c>
      <c r="C3" s="75" t="s">
        <v>232</v>
      </c>
      <c r="D3" s="75" t="s">
        <v>18</v>
      </c>
      <c r="E3" s="76">
        <v>83008042889</v>
      </c>
      <c r="F3" s="77">
        <v>3</v>
      </c>
      <c r="G3" s="94">
        <v>2295</v>
      </c>
      <c r="H3" s="94">
        <v>0</v>
      </c>
      <c r="I3" s="94">
        <v>0</v>
      </c>
      <c r="J3" s="94">
        <v>0</v>
      </c>
      <c r="K3" s="94">
        <v>0</v>
      </c>
      <c r="L3" s="94">
        <v>0</v>
      </c>
      <c r="M3" s="94">
        <v>0</v>
      </c>
      <c r="N3" s="94">
        <v>0</v>
      </c>
      <c r="O3" s="94">
        <v>0</v>
      </c>
      <c r="P3" s="94">
        <v>0</v>
      </c>
      <c r="Q3" s="94">
        <v>0</v>
      </c>
      <c r="R3" s="94">
        <v>0</v>
      </c>
      <c r="S3" s="94">
        <v>0</v>
      </c>
      <c r="T3" s="94">
        <v>0</v>
      </c>
      <c r="U3" s="94">
        <v>0</v>
      </c>
      <c r="V3" s="94">
        <v>0</v>
      </c>
      <c r="W3" s="94">
        <v>0</v>
      </c>
      <c r="X3" s="94">
        <v>0</v>
      </c>
      <c r="Y3" s="127">
        <v>0</v>
      </c>
    </row>
    <row r="4" spans="1:49">
      <c r="A4" s="75" t="s">
        <v>233</v>
      </c>
      <c r="B4" s="75" t="s">
        <v>116</v>
      </c>
      <c r="C4" s="75" t="s">
        <v>195</v>
      </c>
      <c r="D4" s="75" t="s">
        <v>27</v>
      </c>
      <c r="E4" s="76">
        <v>322709746890</v>
      </c>
      <c r="F4" s="77">
        <v>11.73</v>
      </c>
      <c r="G4" s="94">
        <v>10664</v>
      </c>
      <c r="H4" s="94">
        <v>0</v>
      </c>
      <c r="I4" s="94">
        <v>0</v>
      </c>
      <c r="J4" s="94">
        <v>0</v>
      </c>
      <c r="K4" s="94">
        <v>0</v>
      </c>
      <c r="L4" s="94">
        <v>0</v>
      </c>
      <c r="M4" s="94">
        <v>0</v>
      </c>
      <c r="N4" s="94">
        <v>0</v>
      </c>
      <c r="O4" s="94">
        <v>0</v>
      </c>
      <c r="P4" s="94">
        <v>0</v>
      </c>
      <c r="Q4" s="94">
        <v>0</v>
      </c>
      <c r="R4" s="94">
        <v>0</v>
      </c>
      <c r="S4" s="94">
        <v>0</v>
      </c>
      <c r="T4" s="94">
        <v>0</v>
      </c>
      <c r="U4" s="94">
        <v>0</v>
      </c>
      <c r="V4" s="94">
        <v>0</v>
      </c>
      <c r="W4" s="94">
        <v>0</v>
      </c>
      <c r="X4" s="94">
        <v>0</v>
      </c>
      <c r="Y4" s="127">
        <v>0</v>
      </c>
    </row>
    <row r="5" spans="1:49" ht="39.4">
      <c r="A5" s="75" t="s">
        <v>234</v>
      </c>
      <c r="B5" s="75" t="s">
        <v>115</v>
      </c>
      <c r="C5" s="75" t="s">
        <v>197</v>
      </c>
      <c r="D5" s="75" t="s">
        <v>22</v>
      </c>
      <c r="E5" s="76">
        <v>121589085878</v>
      </c>
      <c r="F5" s="77">
        <v>4.16</v>
      </c>
      <c r="G5" s="94">
        <v>3783</v>
      </c>
      <c r="H5" s="94">
        <v>0</v>
      </c>
      <c r="I5" s="94">
        <v>0</v>
      </c>
      <c r="J5" s="94">
        <v>0</v>
      </c>
      <c r="K5" s="94">
        <v>0</v>
      </c>
      <c r="L5" s="94">
        <v>0</v>
      </c>
      <c r="M5" s="94">
        <v>0</v>
      </c>
      <c r="N5" s="94">
        <v>0</v>
      </c>
      <c r="O5" s="94">
        <v>0</v>
      </c>
      <c r="P5" s="94">
        <v>0</v>
      </c>
      <c r="Q5" s="94">
        <v>0</v>
      </c>
      <c r="R5" s="94">
        <v>0</v>
      </c>
      <c r="S5" s="94">
        <v>0</v>
      </c>
      <c r="T5" s="94">
        <v>0</v>
      </c>
      <c r="U5" s="94">
        <v>0</v>
      </c>
      <c r="V5" s="94">
        <v>0</v>
      </c>
      <c r="W5" s="94">
        <v>0</v>
      </c>
      <c r="X5" s="94">
        <v>0</v>
      </c>
      <c r="Y5" s="127">
        <v>0</v>
      </c>
    </row>
    <row r="6" spans="1:49">
      <c r="A6" s="75" t="s">
        <v>114</v>
      </c>
      <c r="B6" s="75" t="s">
        <v>113</v>
      </c>
      <c r="C6" s="75" t="s">
        <v>114</v>
      </c>
      <c r="D6" s="75" t="s">
        <v>22</v>
      </c>
      <c r="E6" s="76">
        <v>27742028640</v>
      </c>
      <c r="F6" s="77">
        <v>0.95</v>
      </c>
      <c r="G6" s="94">
        <v>862</v>
      </c>
      <c r="H6" s="94">
        <v>0</v>
      </c>
      <c r="I6" s="94">
        <v>0</v>
      </c>
      <c r="J6" s="94">
        <v>0</v>
      </c>
      <c r="K6" s="94">
        <v>0</v>
      </c>
      <c r="L6" s="94">
        <v>0</v>
      </c>
      <c r="M6" s="94">
        <v>0</v>
      </c>
      <c r="N6" s="94">
        <v>0</v>
      </c>
      <c r="O6" s="94">
        <v>0</v>
      </c>
      <c r="P6" s="94">
        <v>0</v>
      </c>
      <c r="Q6" s="94">
        <v>0</v>
      </c>
      <c r="R6" s="94">
        <v>0</v>
      </c>
      <c r="S6" s="94">
        <v>0</v>
      </c>
      <c r="T6" s="94">
        <v>0</v>
      </c>
      <c r="U6" s="94">
        <v>0</v>
      </c>
      <c r="V6" s="94">
        <v>0</v>
      </c>
      <c r="W6" s="94">
        <v>0</v>
      </c>
      <c r="X6" s="94">
        <v>0</v>
      </c>
      <c r="Y6" s="127">
        <v>0</v>
      </c>
    </row>
    <row r="7" spans="1:49">
      <c r="A7" s="75" t="s">
        <v>110</v>
      </c>
      <c r="B7" s="75" t="s">
        <v>109</v>
      </c>
      <c r="C7" s="75" t="s">
        <v>200</v>
      </c>
      <c r="D7" s="75" t="s">
        <v>22</v>
      </c>
      <c r="E7" s="76">
        <v>51087244522</v>
      </c>
      <c r="F7" s="77">
        <v>1.74</v>
      </c>
      <c r="G7" s="94">
        <v>1581</v>
      </c>
      <c r="H7" s="94">
        <v>0</v>
      </c>
      <c r="I7" s="94">
        <v>0</v>
      </c>
      <c r="J7" s="94">
        <v>0</v>
      </c>
      <c r="K7" s="94">
        <v>0</v>
      </c>
      <c r="L7" s="94">
        <v>0</v>
      </c>
      <c r="M7" s="94">
        <v>0</v>
      </c>
      <c r="N7" s="94">
        <v>0</v>
      </c>
      <c r="O7" s="94">
        <v>0</v>
      </c>
      <c r="P7" s="94">
        <v>0</v>
      </c>
      <c r="Q7" s="94">
        <v>0</v>
      </c>
      <c r="R7" s="94">
        <v>0</v>
      </c>
      <c r="S7" s="94">
        <v>0</v>
      </c>
      <c r="T7" s="94">
        <v>0</v>
      </c>
      <c r="U7" s="94">
        <v>0</v>
      </c>
      <c r="V7" s="94">
        <v>0</v>
      </c>
      <c r="W7" s="94">
        <v>0</v>
      </c>
      <c r="X7" s="94">
        <v>0</v>
      </c>
      <c r="Y7" s="127">
        <v>0</v>
      </c>
    </row>
    <row r="8" spans="1:49" ht="65.650000000000006">
      <c r="A8" s="75" t="s">
        <v>235</v>
      </c>
      <c r="B8" s="75" t="s">
        <v>111</v>
      </c>
      <c r="C8" s="75" t="s">
        <v>201</v>
      </c>
      <c r="D8" s="75" t="s">
        <v>22</v>
      </c>
      <c r="E8" s="76">
        <v>37573918087</v>
      </c>
      <c r="F8" s="77">
        <v>1.27</v>
      </c>
      <c r="G8" s="94">
        <v>1158</v>
      </c>
      <c r="H8" s="94">
        <v>0</v>
      </c>
      <c r="I8" s="94">
        <v>0</v>
      </c>
      <c r="J8" s="94">
        <v>0</v>
      </c>
      <c r="K8" s="94">
        <v>0</v>
      </c>
      <c r="L8" s="94">
        <v>0</v>
      </c>
      <c r="M8" s="94">
        <v>0</v>
      </c>
      <c r="N8" s="94">
        <v>0</v>
      </c>
      <c r="O8" s="94">
        <v>0</v>
      </c>
      <c r="P8" s="94">
        <v>0</v>
      </c>
      <c r="Q8" s="94">
        <v>0</v>
      </c>
      <c r="R8" s="94">
        <v>0</v>
      </c>
      <c r="S8" s="94">
        <v>0</v>
      </c>
      <c r="T8" s="94">
        <v>0</v>
      </c>
      <c r="U8" s="94">
        <v>0</v>
      </c>
      <c r="V8" s="94">
        <v>0</v>
      </c>
      <c r="W8" s="94">
        <v>0</v>
      </c>
      <c r="X8" s="94">
        <v>0</v>
      </c>
      <c r="Y8" s="127">
        <v>0</v>
      </c>
    </row>
    <row r="9" spans="1:49">
      <c r="A9" s="75" t="s">
        <v>236</v>
      </c>
      <c r="B9" s="75" t="s">
        <v>111</v>
      </c>
      <c r="C9" s="75" t="s">
        <v>202</v>
      </c>
      <c r="D9" s="75" t="s">
        <v>22</v>
      </c>
      <c r="E9" s="76">
        <v>4402514558</v>
      </c>
      <c r="F9" s="77">
        <v>0.19</v>
      </c>
      <c r="G9" s="94">
        <v>154</v>
      </c>
      <c r="H9" s="94">
        <v>0</v>
      </c>
      <c r="I9" s="94">
        <v>0</v>
      </c>
      <c r="J9" s="94">
        <v>0</v>
      </c>
      <c r="K9" s="94">
        <v>0</v>
      </c>
      <c r="L9" s="94">
        <v>0</v>
      </c>
      <c r="M9" s="94">
        <v>0</v>
      </c>
      <c r="N9" s="94">
        <v>0</v>
      </c>
      <c r="O9" s="94">
        <v>0</v>
      </c>
      <c r="P9" s="94">
        <v>0</v>
      </c>
      <c r="Q9" s="94">
        <v>0</v>
      </c>
      <c r="R9" s="94">
        <v>0</v>
      </c>
      <c r="S9" s="94">
        <v>0</v>
      </c>
      <c r="T9" s="94">
        <v>0</v>
      </c>
      <c r="U9" s="94">
        <v>0</v>
      </c>
      <c r="V9" s="94">
        <v>0</v>
      </c>
      <c r="W9" s="94">
        <v>0</v>
      </c>
      <c r="X9" s="94">
        <v>0</v>
      </c>
      <c r="Y9" s="127">
        <v>0</v>
      </c>
    </row>
    <row r="10" spans="1:49">
      <c r="A10" s="75" t="s">
        <v>203</v>
      </c>
      <c r="B10" s="75" t="s">
        <v>120</v>
      </c>
      <c r="C10" s="75" t="s">
        <v>203</v>
      </c>
      <c r="D10" s="75" t="s">
        <v>18</v>
      </c>
      <c r="E10" s="76">
        <v>31420264769</v>
      </c>
      <c r="F10" s="77">
        <v>1.21</v>
      </c>
      <c r="G10" s="94">
        <v>1003</v>
      </c>
      <c r="H10" s="94">
        <v>0</v>
      </c>
      <c r="I10" s="94">
        <v>0</v>
      </c>
      <c r="J10" s="94">
        <v>0</v>
      </c>
      <c r="K10" s="94">
        <v>0</v>
      </c>
      <c r="L10" s="94">
        <v>0</v>
      </c>
      <c r="M10" s="94">
        <v>0</v>
      </c>
      <c r="N10" s="94">
        <v>0</v>
      </c>
      <c r="O10" s="94">
        <v>0</v>
      </c>
      <c r="P10" s="94">
        <v>0</v>
      </c>
      <c r="Q10" s="94">
        <v>0</v>
      </c>
      <c r="R10" s="94">
        <v>0</v>
      </c>
      <c r="S10" s="94">
        <v>0</v>
      </c>
      <c r="T10" s="94">
        <v>0</v>
      </c>
      <c r="U10" s="94">
        <v>0</v>
      </c>
      <c r="V10" s="94">
        <v>0</v>
      </c>
      <c r="W10" s="94">
        <v>0</v>
      </c>
      <c r="X10" s="94">
        <v>0</v>
      </c>
      <c r="Y10" s="127">
        <v>0</v>
      </c>
    </row>
    <row r="11" spans="1:49">
      <c r="A11" s="75" t="s">
        <v>102</v>
      </c>
      <c r="B11" s="75" t="s">
        <v>101</v>
      </c>
      <c r="C11" s="75" t="s">
        <v>204</v>
      </c>
      <c r="D11" s="75" t="s">
        <v>22</v>
      </c>
      <c r="E11" s="76">
        <v>18447808737</v>
      </c>
      <c r="F11" s="77">
        <v>0.76</v>
      </c>
      <c r="G11" s="94">
        <v>623</v>
      </c>
      <c r="H11" s="94">
        <v>40</v>
      </c>
      <c r="I11" s="94">
        <v>65</v>
      </c>
      <c r="J11" s="94">
        <v>75</v>
      </c>
      <c r="K11" s="94">
        <v>10</v>
      </c>
      <c r="L11" s="94">
        <v>46</v>
      </c>
      <c r="M11" s="94">
        <v>0</v>
      </c>
      <c r="N11" s="94">
        <v>0</v>
      </c>
      <c r="O11" s="94">
        <v>0</v>
      </c>
      <c r="P11" s="94">
        <v>0</v>
      </c>
      <c r="Q11" s="94">
        <v>0</v>
      </c>
      <c r="R11" s="94">
        <v>0</v>
      </c>
      <c r="S11" s="94">
        <v>0</v>
      </c>
      <c r="T11" s="94">
        <v>0</v>
      </c>
      <c r="U11" s="94">
        <v>0</v>
      </c>
      <c r="V11" s="94">
        <v>0</v>
      </c>
      <c r="W11" s="94">
        <v>0</v>
      </c>
      <c r="X11" s="94">
        <v>0</v>
      </c>
      <c r="Y11" s="127">
        <v>0</v>
      </c>
    </row>
    <row r="12" spans="1:49">
      <c r="A12" s="75" t="s">
        <v>205</v>
      </c>
      <c r="B12" s="75" t="s">
        <v>101</v>
      </c>
      <c r="C12" s="75" t="s">
        <v>205</v>
      </c>
      <c r="D12" s="75" t="s">
        <v>22</v>
      </c>
      <c r="E12" s="76">
        <v>18114661005</v>
      </c>
      <c r="F12" s="77">
        <v>0.76</v>
      </c>
      <c r="G12" s="94">
        <v>624</v>
      </c>
      <c r="H12" s="94">
        <v>0</v>
      </c>
      <c r="I12" s="94">
        <v>0</v>
      </c>
      <c r="J12" s="94">
        <v>0</v>
      </c>
      <c r="K12" s="94">
        <v>0</v>
      </c>
      <c r="L12" s="94">
        <v>0</v>
      </c>
      <c r="M12" s="94">
        <v>0</v>
      </c>
      <c r="N12" s="94">
        <v>0</v>
      </c>
      <c r="O12" s="94">
        <v>0</v>
      </c>
      <c r="P12" s="94">
        <v>0</v>
      </c>
      <c r="Q12" s="94">
        <v>0</v>
      </c>
      <c r="R12" s="94">
        <v>0</v>
      </c>
      <c r="S12" s="94">
        <v>0</v>
      </c>
      <c r="T12" s="94">
        <v>0</v>
      </c>
      <c r="U12" s="94">
        <v>0</v>
      </c>
      <c r="V12" s="94">
        <v>0</v>
      </c>
      <c r="W12" s="94">
        <v>0</v>
      </c>
      <c r="X12" s="94">
        <v>0</v>
      </c>
      <c r="Y12" s="127">
        <v>0</v>
      </c>
    </row>
    <row r="13" spans="1:49">
      <c r="A13" s="75" t="s">
        <v>122</v>
      </c>
      <c r="B13" s="75" t="s">
        <v>116</v>
      </c>
      <c r="C13" s="75" t="s">
        <v>122</v>
      </c>
      <c r="D13" s="75" t="s">
        <v>18</v>
      </c>
      <c r="E13" s="76">
        <v>30713269905</v>
      </c>
      <c r="F13" s="77">
        <v>1.2</v>
      </c>
      <c r="G13" s="94">
        <v>1000</v>
      </c>
      <c r="H13" s="94">
        <v>0</v>
      </c>
      <c r="I13" s="94">
        <v>0</v>
      </c>
      <c r="J13" s="94">
        <v>0</v>
      </c>
      <c r="K13" s="94">
        <v>0</v>
      </c>
      <c r="L13" s="94">
        <v>0</v>
      </c>
      <c r="M13" s="94">
        <v>0</v>
      </c>
      <c r="N13" s="94">
        <v>0</v>
      </c>
      <c r="O13" s="94">
        <v>0</v>
      </c>
      <c r="P13" s="94">
        <v>0</v>
      </c>
      <c r="Q13" s="94">
        <v>0</v>
      </c>
      <c r="R13" s="94">
        <v>0</v>
      </c>
      <c r="S13" s="94">
        <v>0</v>
      </c>
      <c r="T13" s="94">
        <v>0</v>
      </c>
      <c r="U13" s="94">
        <v>0</v>
      </c>
      <c r="V13" s="94">
        <v>0</v>
      </c>
      <c r="W13" s="94">
        <v>0</v>
      </c>
      <c r="X13" s="94">
        <v>0</v>
      </c>
      <c r="Y13" s="127">
        <v>0</v>
      </c>
    </row>
    <row r="14" spans="1:49">
      <c r="A14" s="75" t="s">
        <v>206</v>
      </c>
      <c r="B14" s="75" t="s">
        <v>123</v>
      </c>
      <c r="C14" s="75" t="s">
        <v>206</v>
      </c>
      <c r="D14" s="75" t="s">
        <v>18</v>
      </c>
      <c r="E14" s="76">
        <v>6880380834</v>
      </c>
      <c r="F14" s="77">
        <v>0.31</v>
      </c>
      <c r="G14" s="94">
        <v>217</v>
      </c>
      <c r="H14" s="94">
        <v>0</v>
      </c>
      <c r="I14" s="94">
        <v>0</v>
      </c>
      <c r="J14" s="94">
        <v>0</v>
      </c>
      <c r="K14" s="94">
        <v>0</v>
      </c>
      <c r="L14" s="94">
        <v>0</v>
      </c>
      <c r="M14" s="94">
        <v>0</v>
      </c>
      <c r="N14" s="94">
        <v>0</v>
      </c>
      <c r="O14" s="94">
        <v>0</v>
      </c>
      <c r="P14" s="94">
        <v>0</v>
      </c>
      <c r="Q14" s="94">
        <v>0</v>
      </c>
      <c r="R14" s="94">
        <v>0</v>
      </c>
      <c r="S14" s="94">
        <v>0</v>
      </c>
      <c r="T14" s="94">
        <v>0</v>
      </c>
      <c r="U14" s="94">
        <v>0</v>
      </c>
      <c r="V14" s="94">
        <v>0</v>
      </c>
      <c r="W14" s="94">
        <v>0</v>
      </c>
      <c r="X14" s="94">
        <v>0</v>
      </c>
      <c r="Y14" s="127">
        <v>0</v>
      </c>
    </row>
    <row r="15" spans="1:49">
      <c r="A15" s="75" t="s">
        <v>207</v>
      </c>
      <c r="B15" s="75" t="s">
        <v>123</v>
      </c>
      <c r="C15" s="75" t="s">
        <v>207</v>
      </c>
      <c r="D15" s="75" t="s">
        <v>18</v>
      </c>
      <c r="E15" s="76">
        <v>22802905997</v>
      </c>
      <c r="F15" s="77">
        <v>0.72</v>
      </c>
      <c r="G15" s="94">
        <v>719</v>
      </c>
      <c r="H15" s="94">
        <v>0</v>
      </c>
      <c r="I15" s="94">
        <v>0</v>
      </c>
      <c r="J15" s="94">
        <v>0</v>
      </c>
      <c r="K15" s="94">
        <v>0</v>
      </c>
      <c r="L15" s="94">
        <v>0</v>
      </c>
      <c r="M15" s="94">
        <v>0</v>
      </c>
      <c r="N15" s="94">
        <v>0</v>
      </c>
      <c r="O15" s="94">
        <v>0</v>
      </c>
      <c r="P15" s="94">
        <v>0</v>
      </c>
      <c r="Q15" s="94">
        <v>0</v>
      </c>
      <c r="R15" s="94">
        <v>0</v>
      </c>
      <c r="S15" s="94">
        <v>0</v>
      </c>
      <c r="T15" s="94">
        <v>0</v>
      </c>
      <c r="U15" s="94">
        <v>0</v>
      </c>
      <c r="V15" s="94">
        <v>0</v>
      </c>
      <c r="W15" s="94">
        <v>0</v>
      </c>
      <c r="X15" s="94">
        <v>0</v>
      </c>
      <c r="Y15" s="127">
        <v>0</v>
      </c>
    </row>
    <row r="16" spans="1:49">
      <c r="A16" s="75" t="s">
        <v>208</v>
      </c>
      <c r="B16" s="75" t="s">
        <v>123</v>
      </c>
      <c r="C16" s="75" t="s">
        <v>208</v>
      </c>
      <c r="D16" s="75" t="s">
        <v>18</v>
      </c>
      <c r="E16" s="76">
        <v>9349545113</v>
      </c>
      <c r="F16" s="77">
        <v>0.42</v>
      </c>
      <c r="G16" s="94">
        <v>293</v>
      </c>
      <c r="H16" s="94">
        <v>0</v>
      </c>
      <c r="I16" s="94">
        <v>0</v>
      </c>
      <c r="J16" s="94">
        <v>0</v>
      </c>
      <c r="K16" s="94">
        <v>0</v>
      </c>
      <c r="L16" s="94">
        <v>0</v>
      </c>
      <c r="M16" s="94">
        <v>0</v>
      </c>
      <c r="N16" s="94">
        <v>0</v>
      </c>
      <c r="O16" s="94">
        <v>0</v>
      </c>
      <c r="P16" s="94">
        <v>0</v>
      </c>
      <c r="Q16" s="94">
        <v>0</v>
      </c>
      <c r="R16" s="94">
        <v>0</v>
      </c>
      <c r="S16" s="94">
        <v>0</v>
      </c>
      <c r="T16" s="94">
        <v>0</v>
      </c>
      <c r="U16" s="94">
        <v>0</v>
      </c>
      <c r="V16" s="94">
        <v>0</v>
      </c>
      <c r="W16" s="94">
        <v>0</v>
      </c>
      <c r="X16" s="94">
        <v>0</v>
      </c>
      <c r="Y16" s="127">
        <v>0</v>
      </c>
    </row>
    <row r="17" spans="1:50">
      <c r="A17" s="75" t="s">
        <v>209</v>
      </c>
      <c r="B17" s="75" t="s">
        <v>123</v>
      </c>
      <c r="C17" s="75" t="s">
        <v>209</v>
      </c>
      <c r="D17" s="75" t="s">
        <v>18</v>
      </c>
      <c r="E17" s="76">
        <v>24764667070</v>
      </c>
      <c r="F17" s="77">
        <v>1.1000000000000001</v>
      </c>
      <c r="G17" s="94">
        <v>777</v>
      </c>
      <c r="H17" s="94">
        <v>0</v>
      </c>
      <c r="I17" s="94">
        <v>0</v>
      </c>
      <c r="J17" s="94">
        <v>0</v>
      </c>
      <c r="K17" s="94">
        <v>0</v>
      </c>
      <c r="L17" s="94">
        <v>0</v>
      </c>
      <c r="M17" s="94">
        <v>0</v>
      </c>
      <c r="N17" s="94">
        <v>0</v>
      </c>
      <c r="O17" s="94">
        <v>0</v>
      </c>
      <c r="P17" s="94">
        <v>0</v>
      </c>
      <c r="Q17" s="94">
        <v>0</v>
      </c>
      <c r="R17" s="94">
        <v>0</v>
      </c>
      <c r="S17" s="94">
        <v>0</v>
      </c>
      <c r="T17" s="94">
        <v>0</v>
      </c>
      <c r="U17" s="94">
        <v>0</v>
      </c>
      <c r="V17" s="94">
        <v>0</v>
      </c>
      <c r="W17" s="94">
        <v>0</v>
      </c>
      <c r="X17" s="94">
        <v>0</v>
      </c>
      <c r="Y17" s="127">
        <v>0</v>
      </c>
    </row>
    <row r="18" spans="1:50">
      <c r="A18" s="75" t="s">
        <v>210</v>
      </c>
      <c r="B18" s="75" t="s">
        <v>185</v>
      </c>
      <c r="C18" s="75" t="s">
        <v>210</v>
      </c>
      <c r="D18" s="75" t="s">
        <v>18</v>
      </c>
      <c r="E18" s="76">
        <v>24437339433</v>
      </c>
      <c r="F18" s="77">
        <v>1.52</v>
      </c>
      <c r="G18" s="94">
        <v>755</v>
      </c>
      <c r="H18" s="94">
        <v>0</v>
      </c>
      <c r="I18" s="94">
        <v>0</v>
      </c>
      <c r="J18" s="94">
        <v>0</v>
      </c>
      <c r="K18" s="94">
        <v>0</v>
      </c>
      <c r="L18" s="94">
        <v>0</v>
      </c>
      <c r="M18" s="94">
        <v>0</v>
      </c>
      <c r="N18" s="94">
        <v>0</v>
      </c>
      <c r="O18" s="94">
        <v>0</v>
      </c>
      <c r="P18" s="94">
        <v>0</v>
      </c>
      <c r="Q18" s="94">
        <v>0</v>
      </c>
      <c r="R18" s="94">
        <v>0</v>
      </c>
      <c r="S18" s="94">
        <v>0</v>
      </c>
      <c r="T18" s="94">
        <v>0</v>
      </c>
      <c r="U18" s="94">
        <v>0</v>
      </c>
      <c r="V18" s="94">
        <v>0</v>
      </c>
      <c r="W18" s="94">
        <v>0</v>
      </c>
      <c r="X18" s="94">
        <v>0</v>
      </c>
      <c r="Y18" s="127">
        <v>0</v>
      </c>
    </row>
    <row r="19" spans="1:50" s="79" customFormat="1">
      <c r="A19" s="95" t="s">
        <v>127</v>
      </c>
      <c r="B19" s="96" t="s">
        <v>126</v>
      </c>
      <c r="C19" s="96" t="s">
        <v>126</v>
      </c>
      <c r="D19" s="96" t="s">
        <v>183</v>
      </c>
      <c r="E19" s="158">
        <v>41281267500</v>
      </c>
      <c r="F19" s="117">
        <v>4.3499999999999996</v>
      </c>
      <c r="G19" s="96">
        <v>2500</v>
      </c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  <c r="AM19" s="135"/>
      <c r="AN19" s="135"/>
      <c r="AO19" s="135"/>
      <c r="AP19" s="135"/>
      <c r="AQ19" s="135"/>
      <c r="AR19" s="135"/>
      <c r="AS19" s="135"/>
      <c r="AT19" s="135"/>
      <c r="AU19" s="135"/>
      <c r="AV19" s="135"/>
      <c r="AW19" s="135"/>
      <c r="AX19" s="135"/>
    </row>
    <row r="20" spans="1:50" ht="14.65" thickBot="1">
      <c r="A20" s="103"/>
      <c r="B20" s="103"/>
      <c r="C20" s="103"/>
      <c r="D20" s="103"/>
      <c r="E20" s="104"/>
      <c r="F20" s="84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28"/>
    </row>
    <row r="21" spans="1:50" s="103" customFormat="1" ht="14.65" thickBot="1">
      <c r="A21" s="220" t="s">
        <v>237</v>
      </c>
      <c r="B21" s="221"/>
      <c r="C21" s="221"/>
      <c r="D21" s="221"/>
      <c r="E21" s="121">
        <f>SUM(E2:E20)</f>
        <v>955641556897</v>
      </c>
      <c r="F21" s="109">
        <f>SUM(F2:F20)</f>
        <v>39.390000000000008</v>
      </c>
      <c r="G21" s="110">
        <f>SUM(G2:G20)</f>
        <v>31044</v>
      </c>
      <c r="H21" s="110">
        <f>SUM(H2:H20)</f>
        <v>40</v>
      </c>
      <c r="I21" s="110">
        <f t="shared" ref="I21:Y21" si="0">SUM(I2:I20)</f>
        <v>65</v>
      </c>
      <c r="J21" s="110">
        <f t="shared" si="0"/>
        <v>75</v>
      </c>
      <c r="K21" s="110">
        <f t="shared" si="0"/>
        <v>10</v>
      </c>
      <c r="L21" s="110">
        <f t="shared" si="0"/>
        <v>46</v>
      </c>
      <c r="M21" s="110">
        <f t="shared" si="0"/>
        <v>0</v>
      </c>
      <c r="N21" s="110">
        <f t="shared" si="0"/>
        <v>0</v>
      </c>
      <c r="O21" s="110">
        <f t="shared" si="0"/>
        <v>0</v>
      </c>
      <c r="P21" s="110">
        <f t="shared" si="0"/>
        <v>0</v>
      </c>
      <c r="Q21" s="110">
        <f t="shared" si="0"/>
        <v>0</v>
      </c>
      <c r="R21" s="110">
        <f t="shared" si="0"/>
        <v>0</v>
      </c>
      <c r="S21" s="110">
        <f t="shared" si="0"/>
        <v>0</v>
      </c>
      <c r="T21" s="110">
        <f t="shared" si="0"/>
        <v>0</v>
      </c>
      <c r="U21" s="110">
        <f t="shared" si="0"/>
        <v>0</v>
      </c>
      <c r="V21" s="110">
        <f t="shared" si="0"/>
        <v>0</v>
      </c>
      <c r="W21" s="110">
        <f t="shared" si="0"/>
        <v>0</v>
      </c>
      <c r="X21" s="110">
        <f t="shared" si="0"/>
        <v>0</v>
      </c>
      <c r="Y21" s="155">
        <f t="shared" si="0"/>
        <v>0</v>
      </c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</row>
    <row r="22" spans="1:50" s="123" customFormat="1">
      <c r="E22" s="124"/>
      <c r="F22" s="125"/>
      <c r="G22" s="125"/>
    </row>
    <row r="23" spans="1:50" s="123" customFormat="1">
      <c r="E23" s="124"/>
      <c r="F23" s="125"/>
      <c r="G23" s="125"/>
    </row>
    <row r="24" spans="1:50" s="123" customFormat="1">
      <c r="E24" s="124"/>
      <c r="F24" s="125"/>
      <c r="G24" s="125"/>
    </row>
    <row r="25" spans="1:50" s="123" customFormat="1">
      <c r="E25" s="124"/>
      <c r="F25" s="125"/>
      <c r="G25" s="125"/>
    </row>
    <row r="26" spans="1:50" s="123" customFormat="1">
      <c r="E26" s="124"/>
      <c r="F26" s="125"/>
      <c r="G26" s="125"/>
    </row>
    <row r="27" spans="1:50" s="123" customFormat="1">
      <c r="E27" s="124"/>
      <c r="F27" s="125"/>
      <c r="G27" s="125"/>
    </row>
    <row r="28" spans="1:50" s="123" customFormat="1">
      <c r="E28" s="124"/>
      <c r="F28" s="125"/>
      <c r="G28" s="125"/>
    </row>
    <row r="29" spans="1:50" s="123" customFormat="1">
      <c r="E29" s="124"/>
      <c r="F29" s="125"/>
      <c r="G29" s="125"/>
    </row>
    <row r="30" spans="1:50" s="123" customFormat="1">
      <c r="E30" s="124"/>
      <c r="F30" s="125"/>
      <c r="G30" s="125"/>
    </row>
    <row r="31" spans="1:50" s="123" customFormat="1">
      <c r="E31" s="124"/>
      <c r="F31" s="125"/>
      <c r="G31" s="125"/>
    </row>
    <row r="32" spans="1:50" s="123" customFormat="1">
      <c r="E32" s="124"/>
      <c r="F32" s="125"/>
      <c r="G32" s="125"/>
    </row>
    <row r="33" spans="5:7" s="123" customFormat="1">
      <c r="E33" s="124"/>
      <c r="F33" s="125"/>
      <c r="G33" s="125"/>
    </row>
    <row r="34" spans="5:7" s="123" customFormat="1">
      <c r="E34" s="124"/>
      <c r="F34" s="125"/>
      <c r="G34" s="125"/>
    </row>
    <row r="35" spans="5:7" s="123" customFormat="1">
      <c r="E35" s="124"/>
      <c r="F35" s="125"/>
      <c r="G35" s="125"/>
    </row>
    <row r="36" spans="5:7" s="123" customFormat="1">
      <c r="E36" s="124"/>
      <c r="F36" s="125"/>
      <c r="G36" s="125"/>
    </row>
    <row r="37" spans="5:7" s="123" customFormat="1">
      <c r="E37" s="124"/>
      <c r="F37" s="125"/>
      <c r="G37" s="125"/>
    </row>
    <row r="38" spans="5:7" s="123" customFormat="1">
      <c r="E38" s="124"/>
      <c r="F38" s="125"/>
      <c r="G38" s="125"/>
    </row>
    <row r="39" spans="5:7" s="123" customFormat="1">
      <c r="E39" s="124"/>
      <c r="F39" s="125"/>
      <c r="G39" s="125"/>
    </row>
    <row r="40" spans="5:7" s="123" customFormat="1">
      <c r="E40" s="124"/>
      <c r="F40" s="125"/>
      <c r="G40" s="125"/>
    </row>
    <row r="41" spans="5:7" s="123" customFormat="1">
      <c r="E41" s="124"/>
      <c r="F41" s="125"/>
      <c r="G41" s="125"/>
    </row>
    <row r="42" spans="5:7" s="123" customFormat="1">
      <c r="E42" s="124"/>
      <c r="F42" s="125"/>
      <c r="G42" s="125"/>
    </row>
    <row r="43" spans="5:7" s="123" customFormat="1">
      <c r="E43" s="124"/>
      <c r="F43" s="125"/>
      <c r="G43" s="125"/>
    </row>
    <row r="44" spans="5:7" s="123" customFormat="1">
      <c r="E44" s="124"/>
      <c r="F44" s="125"/>
      <c r="G44" s="125"/>
    </row>
    <row r="45" spans="5:7" s="123" customFormat="1">
      <c r="E45" s="124"/>
      <c r="F45" s="125"/>
      <c r="G45" s="125"/>
    </row>
    <row r="46" spans="5:7" s="123" customFormat="1">
      <c r="E46" s="124"/>
      <c r="F46" s="125"/>
      <c r="G46" s="125"/>
    </row>
    <row r="47" spans="5:7" s="123" customFormat="1">
      <c r="E47" s="124"/>
      <c r="F47" s="125"/>
      <c r="G47" s="125"/>
    </row>
    <row r="48" spans="5:7" s="123" customFormat="1">
      <c r="E48" s="124"/>
      <c r="F48" s="125"/>
      <c r="G48" s="125"/>
    </row>
    <row r="49" spans="5:7" s="123" customFormat="1">
      <c r="E49" s="124"/>
      <c r="F49" s="125"/>
      <c r="G49" s="125"/>
    </row>
    <row r="50" spans="5:7" s="123" customFormat="1">
      <c r="E50" s="124"/>
      <c r="F50" s="125"/>
      <c r="G50" s="125"/>
    </row>
    <row r="51" spans="5:7" s="123" customFormat="1">
      <c r="E51" s="124"/>
      <c r="F51" s="125"/>
      <c r="G51" s="125"/>
    </row>
    <row r="52" spans="5:7" s="123" customFormat="1">
      <c r="E52" s="124"/>
      <c r="F52" s="125"/>
      <c r="G52" s="125"/>
    </row>
    <row r="53" spans="5:7" s="123" customFormat="1">
      <c r="E53" s="124"/>
      <c r="F53" s="125"/>
      <c r="G53" s="125"/>
    </row>
    <row r="54" spans="5:7" s="123" customFormat="1">
      <c r="E54" s="124"/>
      <c r="F54" s="125"/>
      <c r="G54" s="125"/>
    </row>
    <row r="55" spans="5:7" s="123" customFormat="1">
      <c r="E55" s="124"/>
      <c r="F55" s="125"/>
      <c r="G55" s="125"/>
    </row>
    <row r="56" spans="5:7" s="123" customFormat="1">
      <c r="E56" s="124"/>
      <c r="F56" s="125"/>
      <c r="G56" s="125"/>
    </row>
    <row r="57" spans="5:7" s="123" customFormat="1">
      <c r="E57" s="124"/>
      <c r="F57" s="125"/>
      <c r="G57" s="125"/>
    </row>
    <row r="58" spans="5:7" s="123" customFormat="1">
      <c r="E58" s="124"/>
      <c r="F58" s="125"/>
      <c r="G58" s="125"/>
    </row>
    <row r="59" spans="5:7" s="123" customFormat="1">
      <c r="E59" s="124"/>
      <c r="F59" s="125"/>
      <c r="G59" s="125"/>
    </row>
    <row r="60" spans="5:7" s="123" customFormat="1">
      <c r="E60" s="124"/>
      <c r="F60" s="125"/>
      <c r="G60" s="125"/>
    </row>
    <row r="61" spans="5:7" s="123" customFormat="1">
      <c r="E61" s="124"/>
      <c r="F61" s="125"/>
      <c r="G61" s="125"/>
    </row>
    <row r="62" spans="5:7" s="123" customFormat="1">
      <c r="E62" s="124"/>
      <c r="F62" s="125"/>
      <c r="G62" s="125"/>
    </row>
    <row r="63" spans="5:7" s="123" customFormat="1">
      <c r="E63" s="124"/>
      <c r="F63" s="125"/>
      <c r="G63" s="125"/>
    </row>
    <row r="64" spans="5:7" s="123" customFormat="1">
      <c r="E64" s="124"/>
      <c r="F64" s="125"/>
      <c r="G64" s="125"/>
    </row>
    <row r="65" spans="5:7" s="123" customFormat="1">
      <c r="E65" s="124"/>
      <c r="F65" s="125"/>
      <c r="G65" s="125"/>
    </row>
    <row r="66" spans="5:7" s="123" customFormat="1">
      <c r="E66" s="124"/>
      <c r="F66" s="125"/>
      <c r="G66" s="125"/>
    </row>
    <row r="67" spans="5:7" s="123" customFormat="1">
      <c r="E67" s="124"/>
      <c r="F67" s="125"/>
      <c r="G67" s="125"/>
    </row>
    <row r="68" spans="5:7" s="123" customFormat="1">
      <c r="E68" s="124"/>
      <c r="F68" s="125"/>
      <c r="G68" s="125"/>
    </row>
    <row r="69" spans="5:7" s="123" customFormat="1">
      <c r="E69" s="124"/>
      <c r="F69" s="125"/>
      <c r="G69" s="125"/>
    </row>
    <row r="70" spans="5:7" s="123" customFormat="1">
      <c r="E70" s="124"/>
      <c r="F70" s="125"/>
      <c r="G70" s="125"/>
    </row>
    <row r="71" spans="5:7" s="123" customFormat="1">
      <c r="E71" s="124"/>
      <c r="F71" s="125"/>
      <c r="G71" s="125"/>
    </row>
    <row r="72" spans="5:7" s="123" customFormat="1">
      <c r="E72" s="124"/>
      <c r="F72" s="125"/>
      <c r="G72" s="125"/>
    </row>
    <row r="73" spans="5:7" s="123" customFormat="1">
      <c r="E73" s="124"/>
      <c r="F73" s="125"/>
      <c r="G73" s="125"/>
    </row>
    <row r="74" spans="5:7" s="123" customFormat="1">
      <c r="E74" s="124"/>
      <c r="F74" s="125"/>
      <c r="G74" s="125"/>
    </row>
    <row r="75" spans="5:7" s="123" customFormat="1">
      <c r="E75" s="124"/>
      <c r="F75" s="125"/>
      <c r="G75" s="125"/>
    </row>
    <row r="76" spans="5:7" s="123" customFormat="1">
      <c r="E76" s="124"/>
      <c r="F76" s="125"/>
      <c r="G76" s="125"/>
    </row>
    <row r="77" spans="5:7" s="123" customFormat="1">
      <c r="E77" s="124"/>
      <c r="F77" s="125"/>
      <c r="G77" s="125"/>
    </row>
    <row r="78" spans="5:7" s="123" customFormat="1">
      <c r="E78" s="124"/>
      <c r="F78" s="125"/>
      <c r="G78" s="125"/>
    </row>
    <row r="79" spans="5:7" s="123" customFormat="1">
      <c r="E79" s="124"/>
      <c r="F79" s="125"/>
      <c r="G79" s="125"/>
    </row>
    <row r="80" spans="5:7" s="123" customFormat="1">
      <c r="E80" s="124"/>
      <c r="F80" s="125"/>
      <c r="G80" s="125"/>
    </row>
    <row r="81" spans="5:7" s="123" customFormat="1">
      <c r="E81" s="124"/>
      <c r="F81" s="125"/>
      <c r="G81" s="125"/>
    </row>
    <row r="82" spans="5:7" s="123" customFormat="1">
      <c r="E82" s="124"/>
      <c r="F82" s="125"/>
      <c r="G82" s="125"/>
    </row>
    <row r="83" spans="5:7" s="123" customFormat="1">
      <c r="E83" s="124"/>
      <c r="F83" s="125"/>
      <c r="G83" s="125"/>
    </row>
    <row r="84" spans="5:7" s="123" customFormat="1">
      <c r="E84" s="124"/>
      <c r="F84" s="125"/>
      <c r="G84" s="125"/>
    </row>
    <row r="85" spans="5:7" s="123" customFormat="1">
      <c r="E85" s="124"/>
      <c r="F85" s="125"/>
      <c r="G85" s="125"/>
    </row>
    <row r="86" spans="5:7" s="123" customFormat="1">
      <c r="E86" s="124"/>
      <c r="F86" s="125"/>
      <c r="G86" s="125"/>
    </row>
    <row r="87" spans="5:7" s="123" customFormat="1">
      <c r="E87" s="124"/>
      <c r="F87" s="125"/>
      <c r="G87" s="125"/>
    </row>
    <row r="88" spans="5:7" s="123" customFormat="1">
      <c r="E88" s="124"/>
      <c r="F88" s="125"/>
      <c r="G88" s="125"/>
    </row>
    <row r="89" spans="5:7" s="123" customFormat="1">
      <c r="E89" s="124"/>
      <c r="F89" s="125"/>
      <c r="G89" s="125"/>
    </row>
    <row r="90" spans="5:7" s="123" customFormat="1">
      <c r="E90" s="124"/>
      <c r="F90" s="125"/>
      <c r="G90" s="125"/>
    </row>
    <row r="91" spans="5:7" s="123" customFormat="1">
      <c r="E91" s="124"/>
      <c r="F91" s="125"/>
      <c r="G91" s="125"/>
    </row>
    <row r="92" spans="5:7" s="123" customFormat="1">
      <c r="E92" s="124"/>
      <c r="F92" s="125"/>
      <c r="G92" s="125"/>
    </row>
    <row r="93" spans="5:7" s="123" customFormat="1">
      <c r="E93" s="124"/>
      <c r="F93" s="125"/>
      <c r="G93" s="125"/>
    </row>
    <row r="94" spans="5:7" s="123" customFormat="1">
      <c r="E94" s="124"/>
      <c r="F94" s="125"/>
      <c r="G94" s="125"/>
    </row>
    <row r="95" spans="5:7" s="123" customFormat="1">
      <c r="E95" s="124"/>
      <c r="F95" s="125"/>
      <c r="G95" s="125"/>
    </row>
    <row r="96" spans="5:7" s="123" customFormat="1">
      <c r="E96" s="124"/>
      <c r="F96" s="125"/>
      <c r="G96" s="125"/>
    </row>
    <row r="97" spans="5:7" s="123" customFormat="1">
      <c r="E97" s="124"/>
      <c r="F97" s="125"/>
      <c r="G97" s="125"/>
    </row>
    <row r="98" spans="5:7" s="123" customFormat="1">
      <c r="E98" s="124"/>
      <c r="F98" s="125"/>
      <c r="G98" s="125"/>
    </row>
    <row r="99" spans="5:7" s="123" customFormat="1">
      <c r="E99" s="124"/>
      <c r="F99" s="125"/>
      <c r="G99" s="125"/>
    </row>
    <row r="100" spans="5:7" s="123" customFormat="1">
      <c r="E100" s="124"/>
      <c r="F100" s="125"/>
      <c r="G100" s="125"/>
    </row>
    <row r="101" spans="5:7" s="123" customFormat="1">
      <c r="E101" s="124"/>
      <c r="F101" s="125"/>
      <c r="G101" s="125"/>
    </row>
    <row r="102" spans="5:7" s="123" customFormat="1">
      <c r="E102" s="124"/>
      <c r="F102" s="125"/>
      <c r="G102" s="125"/>
    </row>
    <row r="103" spans="5:7" s="123" customFormat="1">
      <c r="E103" s="124"/>
      <c r="F103" s="125"/>
      <c r="G103" s="125"/>
    </row>
    <row r="104" spans="5:7" s="123" customFormat="1">
      <c r="E104" s="124"/>
      <c r="F104" s="125"/>
      <c r="G104" s="125"/>
    </row>
    <row r="105" spans="5:7" s="123" customFormat="1">
      <c r="E105" s="124"/>
      <c r="F105" s="125"/>
      <c r="G105" s="125"/>
    </row>
    <row r="106" spans="5:7" s="123" customFormat="1">
      <c r="E106" s="124"/>
      <c r="F106" s="125"/>
      <c r="G106" s="125"/>
    </row>
    <row r="107" spans="5:7" s="123" customFormat="1">
      <c r="E107" s="124"/>
      <c r="F107" s="125"/>
      <c r="G107" s="125"/>
    </row>
    <row r="108" spans="5:7" s="123" customFormat="1">
      <c r="E108" s="124"/>
      <c r="F108" s="125"/>
      <c r="G108" s="125"/>
    </row>
    <row r="109" spans="5:7" s="123" customFormat="1">
      <c r="E109" s="124"/>
      <c r="F109" s="125"/>
      <c r="G109" s="125"/>
    </row>
    <row r="110" spans="5:7" s="123" customFormat="1">
      <c r="E110" s="124"/>
      <c r="F110" s="125"/>
      <c r="G110" s="125"/>
    </row>
    <row r="111" spans="5:7" s="123" customFormat="1">
      <c r="E111" s="124"/>
      <c r="F111" s="125"/>
      <c r="G111" s="125"/>
    </row>
    <row r="112" spans="5:7" s="123" customFormat="1">
      <c r="E112" s="124"/>
      <c r="F112" s="125"/>
      <c r="G112" s="125"/>
    </row>
    <row r="113" spans="5:7" s="123" customFormat="1">
      <c r="E113" s="124"/>
      <c r="F113" s="125"/>
      <c r="G113" s="125"/>
    </row>
    <row r="114" spans="5:7" s="123" customFormat="1">
      <c r="E114" s="124"/>
      <c r="F114" s="125"/>
      <c r="G114" s="125"/>
    </row>
    <row r="115" spans="5:7" s="123" customFormat="1">
      <c r="E115" s="124"/>
      <c r="F115" s="125"/>
      <c r="G115" s="125"/>
    </row>
    <row r="116" spans="5:7" s="123" customFormat="1">
      <c r="E116" s="124"/>
      <c r="F116" s="125"/>
      <c r="G116" s="125"/>
    </row>
    <row r="117" spans="5:7" s="123" customFormat="1">
      <c r="E117" s="124"/>
      <c r="F117" s="125"/>
      <c r="G117" s="125"/>
    </row>
    <row r="118" spans="5:7" s="123" customFormat="1">
      <c r="E118" s="124"/>
      <c r="F118" s="125"/>
      <c r="G118" s="125"/>
    </row>
    <row r="119" spans="5:7" s="123" customFormat="1">
      <c r="E119" s="124"/>
      <c r="F119" s="125"/>
      <c r="G119" s="125"/>
    </row>
    <row r="120" spans="5:7" s="123" customFormat="1">
      <c r="E120" s="124"/>
      <c r="F120" s="125"/>
      <c r="G120" s="125"/>
    </row>
    <row r="121" spans="5:7" s="123" customFormat="1">
      <c r="E121" s="124"/>
      <c r="F121" s="125"/>
      <c r="G121" s="125"/>
    </row>
    <row r="122" spans="5:7" s="123" customFormat="1">
      <c r="E122" s="124"/>
      <c r="F122" s="125"/>
      <c r="G122" s="125"/>
    </row>
    <row r="123" spans="5:7" s="123" customFormat="1">
      <c r="E123" s="124"/>
      <c r="F123" s="125"/>
      <c r="G123" s="125"/>
    </row>
    <row r="124" spans="5:7" s="123" customFormat="1">
      <c r="E124" s="124"/>
      <c r="F124" s="125"/>
      <c r="G124" s="125"/>
    </row>
    <row r="125" spans="5:7" s="123" customFormat="1">
      <c r="E125" s="124"/>
      <c r="F125" s="125"/>
      <c r="G125" s="125"/>
    </row>
    <row r="126" spans="5:7" s="123" customFormat="1">
      <c r="E126" s="124"/>
      <c r="F126" s="125"/>
      <c r="G126" s="125"/>
    </row>
    <row r="127" spans="5:7" s="123" customFormat="1">
      <c r="E127" s="124"/>
      <c r="F127" s="125"/>
      <c r="G127" s="125"/>
    </row>
    <row r="128" spans="5:7" s="123" customFormat="1">
      <c r="E128" s="124"/>
      <c r="F128" s="125"/>
      <c r="G128" s="125"/>
    </row>
    <row r="129" spans="5:49" s="123" customFormat="1">
      <c r="E129" s="124"/>
      <c r="F129" s="125"/>
      <c r="G129" s="125"/>
    </row>
    <row r="130" spans="5:49" s="123" customFormat="1">
      <c r="E130" s="124"/>
      <c r="F130" s="125"/>
      <c r="G130" s="125"/>
    </row>
    <row r="131" spans="5:49" s="123" customFormat="1">
      <c r="E131" s="124"/>
      <c r="F131" s="125"/>
      <c r="G131" s="125"/>
    </row>
    <row r="132" spans="5:49" s="123" customFormat="1">
      <c r="E132" s="124"/>
      <c r="F132" s="125"/>
      <c r="G132" s="125"/>
    </row>
    <row r="133" spans="5:49" s="123" customFormat="1">
      <c r="E133" s="124"/>
      <c r="F133" s="125"/>
      <c r="G133" s="125"/>
    </row>
    <row r="134" spans="5:49" s="123" customFormat="1">
      <c r="E134" s="124"/>
      <c r="F134" s="125"/>
      <c r="G134" s="125"/>
    </row>
    <row r="135" spans="5:49" s="123" customFormat="1">
      <c r="E135" s="124"/>
      <c r="F135" s="125"/>
      <c r="G135" s="125"/>
    </row>
    <row r="136" spans="5:49" s="106" customFormat="1">
      <c r="E136" s="107"/>
      <c r="F136" s="108"/>
      <c r="G136" s="108"/>
      <c r="Y136" s="129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123"/>
      <c r="AN136" s="123"/>
      <c r="AO136" s="123"/>
      <c r="AP136" s="123"/>
      <c r="AQ136" s="123"/>
      <c r="AR136" s="123"/>
      <c r="AS136" s="123"/>
      <c r="AT136" s="123"/>
      <c r="AU136" s="123"/>
      <c r="AV136" s="123"/>
      <c r="AW136" s="123"/>
    </row>
  </sheetData>
  <mergeCells count="1">
    <mergeCell ref="A21:D21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9F99C-0025-4DA1-ADB8-2B3983DFE43C}">
  <dimension ref="C2:DK35"/>
  <sheetViews>
    <sheetView workbookViewId="0">
      <pane xSplit="2" ySplit="3" topLeftCell="C7" activePane="bottomRight" state="frozen"/>
      <selection pane="topRight" activeCell="C1" sqref="C1"/>
      <selection pane="bottomLeft" activeCell="A4" sqref="A4"/>
      <selection pane="bottomRight" activeCell="L12" sqref="L12"/>
    </sheetView>
  </sheetViews>
  <sheetFormatPr baseColWidth="10" defaultColWidth="11.3984375" defaultRowHeight="14.25"/>
  <cols>
    <col min="1" max="1" width="3.3984375" customWidth="1"/>
    <col min="2" max="2" width="4.265625" customWidth="1"/>
    <col min="3" max="3" width="12.59765625" bestFit="1" customWidth="1"/>
    <col min="4" max="4" width="26.265625" customWidth="1"/>
    <col min="5" max="5" width="16.3984375" customWidth="1"/>
    <col min="6" max="6" width="14.86328125" customWidth="1"/>
    <col min="7" max="7" width="14" customWidth="1"/>
    <col min="8" max="8" width="15.3984375" customWidth="1"/>
    <col min="9" max="17" width="5.59765625" bestFit="1" customWidth="1"/>
    <col min="18" max="39" width="6.59765625" bestFit="1" customWidth="1"/>
    <col min="40" max="48" width="4.86328125" bestFit="1" customWidth="1"/>
    <col min="49" max="69" width="5.86328125" bestFit="1" customWidth="1"/>
    <col min="70" max="78" width="4.265625" bestFit="1" customWidth="1"/>
    <col min="79" max="100" width="5.265625" bestFit="1" customWidth="1"/>
    <col min="101" max="109" width="5.1328125" bestFit="1" customWidth="1"/>
    <col min="110" max="115" width="6.1328125" bestFit="1" customWidth="1"/>
  </cols>
  <sheetData>
    <row r="2" spans="3:115">
      <c r="C2" s="225" t="s">
        <v>247</v>
      </c>
      <c r="D2" s="225"/>
      <c r="E2" s="225"/>
      <c r="F2" s="225"/>
      <c r="G2" s="225"/>
      <c r="H2" s="7"/>
      <c r="I2" s="225" t="s">
        <v>248</v>
      </c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6" t="s">
        <v>249</v>
      </c>
      <c r="AN2" s="225"/>
      <c r="AO2" s="225"/>
      <c r="AP2" s="225"/>
      <c r="AQ2" s="225"/>
      <c r="AR2" s="225"/>
      <c r="AS2" s="225"/>
      <c r="AT2" s="225"/>
      <c r="AU2" s="225"/>
      <c r="AV2" s="225"/>
      <c r="AW2" s="225"/>
      <c r="AX2" s="225"/>
      <c r="AY2" s="225"/>
      <c r="AZ2" s="225"/>
      <c r="BA2" s="225"/>
      <c r="BB2" s="225"/>
      <c r="BC2" s="225"/>
      <c r="BD2" s="225"/>
      <c r="BE2" s="225"/>
      <c r="BF2" s="225"/>
      <c r="BG2" s="225"/>
      <c r="BH2" s="225"/>
      <c r="BI2" s="225"/>
      <c r="BJ2" s="225"/>
      <c r="BK2" s="225"/>
      <c r="BL2" s="225"/>
      <c r="BM2" s="225"/>
      <c r="BN2" s="225"/>
      <c r="BO2" s="225"/>
      <c r="BP2" s="225"/>
      <c r="BQ2" s="225"/>
      <c r="BR2" s="225" t="s">
        <v>250</v>
      </c>
      <c r="BS2" s="225"/>
      <c r="BT2" s="225"/>
      <c r="BU2" s="225"/>
      <c r="BV2" s="225"/>
      <c r="BW2" s="225"/>
      <c r="BX2" s="225"/>
      <c r="BY2" s="225"/>
      <c r="BZ2" s="225"/>
      <c r="CA2" s="225"/>
      <c r="CB2" s="225"/>
      <c r="CC2" s="225"/>
      <c r="CD2" s="225"/>
      <c r="CE2" s="225"/>
      <c r="CF2" s="225"/>
      <c r="CG2" s="225"/>
      <c r="CH2" s="225"/>
      <c r="CI2" s="225"/>
      <c r="CJ2" s="225"/>
      <c r="CK2" s="225"/>
      <c r="CL2" s="225"/>
      <c r="CM2" s="225"/>
      <c r="CN2" s="225"/>
      <c r="CO2" s="225"/>
      <c r="CP2" s="225"/>
      <c r="CQ2" s="225"/>
      <c r="CR2" s="225"/>
      <c r="CS2" s="225"/>
      <c r="CT2" s="225"/>
      <c r="CU2" s="225"/>
      <c r="CV2" s="225"/>
    </row>
    <row r="3" spans="3:115">
      <c r="C3" s="8" t="s">
        <v>162</v>
      </c>
      <c r="D3" s="8" t="s">
        <v>90</v>
      </c>
      <c r="E3" s="8" t="s">
        <v>251</v>
      </c>
      <c r="F3" s="8" t="s">
        <v>252</v>
      </c>
      <c r="G3" s="8" t="s">
        <v>253</v>
      </c>
      <c r="H3" s="8" t="s">
        <v>254</v>
      </c>
      <c r="I3" s="9">
        <v>46143</v>
      </c>
      <c r="J3" s="9">
        <v>46144</v>
      </c>
      <c r="K3" s="9">
        <v>46145</v>
      </c>
      <c r="L3" s="9">
        <v>46146</v>
      </c>
      <c r="M3" s="9">
        <v>46147</v>
      </c>
      <c r="N3" s="9">
        <v>46148</v>
      </c>
      <c r="O3" s="9">
        <v>46149</v>
      </c>
      <c r="P3" s="9">
        <v>46150</v>
      </c>
      <c r="Q3" s="9">
        <v>46151</v>
      </c>
      <c r="R3" s="9">
        <v>46152</v>
      </c>
      <c r="S3" s="9">
        <v>46153</v>
      </c>
      <c r="T3" s="9">
        <v>46154</v>
      </c>
      <c r="U3" s="9">
        <v>46155</v>
      </c>
      <c r="V3" s="9">
        <v>46156</v>
      </c>
      <c r="W3" s="9">
        <v>46157</v>
      </c>
      <c r="X3" s="9">
        <v>46158</v>
      </c>
      <c r="Y3" s="9">
        <v>46159</v>
      </c>
      <c r="Z3" s="9">
        <v>46160</v>
      </c>
      <c r="AA3" s="9">
        <v>46161</v>
      </c>
      <c r="AB3" s="9">
        <v>46162</v>
      </c>
      <c r="AC3" s="9">
        <v>46163</v>
      </c>
      <c r="AD3" s="9">
        <v>46164</v>
      </c>
      <c r="AE3" s="9">
        <v>46165</v>
      </c>
      <c r="AF3" s="9">
        <v>46166</v>
      </c>
      <c r="AG3" s="9">
        <v>46167</v>
      </c>
      <c r="AH3" s="9">
        <v>46168</v>
      </c>
      <c r="AI3" s="9">
        <v>46169</v>
      </c>
      <c r="AJ3" s="9">
        <v>46170</v>
      </c>
      <c r="AK3" s="9">
        <v>46171</v>
      </c>
      <c r="AL3" s="9">
        <v>46172</v>
      </c>
      <c r="AM3" s="9">
        <v>46173</v>
      </c>
      <c r="AN3" s="10">
        <v>46174</v>
      </c>
      <c r="AO3" s="10">
        <v>46175</v>
      </c>
      <c r="AP3" s="10">
        <v>46176</v>
      </c>
      <c r="AQ3" s="10">
        <v>46177</v>
      </c>
      <c r="AR3" s="10">
        <v>46178</v>
      </c>
      <c r="AS3" s="10">
        <v>46179</v>
      </c>
      <c r="AT3" s="10">
        <v>46180</v>
      </c>
      <c r="AU3" s="10">
        <v>46181</v>
      </c>
      <c r="AV3" s="10">
        <v>46182</v>
      </c>
      <c r="AW3" s="10">
        <v>46183</v>
      </c>
      <c r="AX3" s="10">
        <v>46184</v>
      </c>
      <c r="AY3" s="10">
        <v>46185</v>
      </c>
      <c r="AZ3" s="10">
        <v>46186</v>
      </c>
      <c r="BA3" s="10">
        <v>46187</v>
      </c>
      <c r="BB3" s="10">
        <v>46188</v>
      </c>
      <c r="BC3" s="10">
        <v>46189</v>
      </c>
      <c r="BD3" s="10">
        <v>46190</v>
      </c>
      <c r="BE3" s="10">
        <v>46191</v>
      </c>
      <c r="BF3" s="10">
        <v>46192</v>
      </c>
      <c r="BG3" s="10">
        <v>46193</v>
      </c>
      <c r="BH3" s="10">
        <v>46194</v>
      </c>
      <c r="BI3" s="10">
        <v>46195</v>
      </c>
      <c r="BJ3" s="10">
        <v>46196</v>
      </c>
      <c r="BK3" s="10">
        <v>46197</v>
      </c>
      <c r="BL3" s="10">
        <v>46198</v>
      </c>
      <c r="BM3" s="10">
        <v>46199</v>
      </c>
      <c r="BN3" s="10">
        <v>46200</v>
      </c>
      <c r="BO3" s="10">
        <v>46201</v>
      </c>
      <c r="BP3" s="10">
        <v>46202</v>
      </c>
      <c r="BQ3" s="10">
        <v>46203</v>
      </c>
      <c r="BR3" s="11">
        <v>46204</v>
      </c>
      <c r="BS3" s="11">
        <v>46205</v>
      </c>
      <c r="BT3" s="11">
        <v>46206</v>
      </c>
      <c r="BU3" s="11">
        <v>46207</v>
      </c>
      <c r="BV3" s="11">
        <v>46208</v>
      </c>
      <c r="BW3" s="11">
        <v>46209</v>
      </c>
      <c r="BX3" s="11">
        <v>46210</v>
      </c>
      <c r="BY3" s="11">
        <v>46211</v>
      </c>
      <c r="BZ3" s="11">
        <v>46212</v>
      </c>
      <c r="CA3" s="11">
        <v>46213</v>
      </c>
      <c r="CB3" s="11">
        <v>46214</v>
      </c>
      <c r="CC3" s="11">
        <v>46215</v>
      </c>
      <c r="CD3" s="11">
        <v>46216</v>
      </c>
      <c r="CE3" s="11">
        <v>46217</v>
      </c>
      <c r="CF3" s="11">
        <v>46218</v>
      </c>
      <c r="CG3" s="11">
        <v>46219</v>
      </c>
      <c r="CH3" s="11">
        <v>46220</v>
      </c>
      <c r="CI3" s="11">
        <v>46221</v>
      </c>
      <c r="CJ3" s="11">
        <v>46222</v>
      </c>
      <c r="CK3" s="11">
        <v>46223</v>
      </c>
      <c r="CL3" s="11">
        <v>46224</v>
      </c>
      <c r="CM3" s="11">
        <v>46225</v>
      </c>
      <c r="CN3" s="11">
        <v>46226</v>
      </c>
      <c r="CO3" s="11">
        <v>46227</v>
      </c>
      <c r="CP3" s="11">
        <v>46228</v>
      </c>
      <c r="CQ3" s="11">
        <v>46229</v>
      </c>
      <c r="CR3" s="11">
        <v>46230</v>
      </c>
      <c r="CS3" s="11">
        <v>46231</v>
      </c>
      <c r="CT3" s="11">
        <v>46232</v>
      </c>
      <c r="CU3" s="11">
        <v>46233</v>
      </c>
      <c r="CV3" s="11">
        <v>46234</v>
      </c>
      <c r="CW3" s="23">
        <v>46235</v>
      </c>
      <c r="CX3" s="23">
        <v>46236</v>
      </c>
      <c r="CY3" s="23">
        <v>46237</v>
      </c>
      <c r="CZ3" s="23">
        <v>46238</v>
      </c>
      <c r="DA3" s="23">
        <v>46239</v>
      </c>
      <c r="DB3" s="23">
        <v>46240</v>
      </c>
      <c r="DC3" s="23">
        <v>46241</v>
      </c>
      <c r="DD3" s="23">
        <v>46242</v>
      </c>
      <c r="DE3" s="23">
        <v>46243</v>
      </c>
      <c r="DF3" s="23">
        <v>46244</v>
      </c>
      <c r="DG3" s="23">
        <v>46245</v>
      </c>
      <c r="DH3" s="23">
        <v>46246</v>
      </c>
      <c r="DI3" s="23">
        <v>46247</v>
      </c>
      <c r="DJ3" s="23">
        <v>46248</v>
      </c>
      <c r="DK3" s="23">
        <v>46249</v>
      </c>
    </row>
    <row r="4" spans="3:115">
      <c r="C4" t="s">
        <v>51</v>
      </c>
      <c r="D4" t="s">
        <v>102</v>
      </c>
      <c r="E4" s="1">
        <f>SUM(I4:AM4)</f>
        <v>180</v>
      </c>
      <c r="F4" s="1">
        <f>SUM(AN4:BQ4)</f>
        <v>0</v>
      </c>
      <c r="G4" s="1">
        <f>SUM(BR4:CV4)</f>
        <v>0</v>
      </c>
      <c r="H4" s="1">
        <f>SUM(CW4:DK4)</f>
        <v>0</v>
      </c>
      <c r="I4">
        <v>23</v>
      </c>
      <c r="O4">
        <f>180-I4</f>
        <v>157</v>
      </c>
    </row>
    <row r="5" spans="3:115">
      <c r="C5" t="s">
        <v>51</v>
      </c>
      <c r="D5" t="s">
        <v>108</v>
      </c>
      <c r="E5" s="1">
        <f t="shared" ref="E5:E9" si="0">SUM(I5:AM5)</f>
        <v>0</v>
      </c>
      <c r="F5" s="1">
        <f t="shared" ref="F5:F35" si="1">SUM(AN5:BQ5)</f>
        <v>0</v>
      </c>
      <c r="G5" s="1">
        <f t="shared" ref="G5:G35" si="2">SUM(BR5:CV5)</f>
        <v>0</v>
      </c>
      <c r="H5" s="1">
        <f t="shared" ref="H5:H35" si="3">SUM(CW5:DK5)</f>
        <v>0</v>
      </c>
    </row>
    <row r="6" spans="3:115">
      <c r="C6" t="s">
        <v>51</v>
      </c>
      <c r="D6" s="4" t="s">
        <v>110</v>
      </c>
      <c r="E6" s="1">
        <f t="shared" si="0"/>
        <v>0</v>
      </c>
      <c r="F6" s="1">
        <f t="shared" si="1"/>
        <v>0</v>
      </c>
      <c r="G6" s="1">
        <f t="shared" si="2"/>
        <v>0</v>
      </c>
      <c r="H6" s="1">
        <f t="shared" si="3"/>
        <v>0</v>
      </c>
    </row>
    <row r="7" spans="3:115">
      <c r="C7" t="s">
        <v>51</v>
      </c>
      <c r="D7" s="4" t="s">
        <v>111</v>
      </c>
      <c r="E7" s="1">
        <f t="shared" si="0"/>
        <v>0</v>
      </c>
      <c r="F7" s="1">
        <f t="shared" si="1"/>
        <v>0</v>
      </c>
      <c r="G7" s="1">
        <f t="shared" si="2"/>
        <v>0</v>
      </c>
      <c r="H7" s="1">
        <f t="shared" si="3"/>
        <v>0</v>
      </c>
    </row>
    <row r="8" spans="3:115">
      <c r="C8" t="s">
        <v>51</v>
      </c>
      <c r="D8" s="4" t="s">
        <v>112</v>
      </c>
      <c r="E8" s="1">
        <f t="shared" si="0"/>
        <v>0</v>
      </c>
      <c r="F8" s="1">
        <f t="shared" si="1"/>
        <v>0</v>
      </c>
      <c r="G8" s="1">
        <f t="shared" si="2"/>
        <v>0</v>
      </c>
      <c r="H8" s="1">
        <f t="shared" si="3"/>
        <v>0</v>
      </c>
    </row>
    <row r="9" spans="3:115">
      <c r="C9" t="s">
        <v>51</v>
      </c>
      <c r="D9" s="4" t="s">
        <v>113</v>
      </c>
      <c r="E9" s="1">
        <f t="shared" si="0"/>
        <v>0</v>
      </c>
      <c r="F9" s="1">
        <f t="shared" si="1"/>
        <v>0</v>
      </c>
      <c r="G9" s="1">
        <f t="shared" si="2"/>
        <v>0</v>
      </c>
      <c r="H9" s="1">
        <f t="shared" si="3"/>
        <v>0</v>
      </c>
    </row>
    <row r="10" spans="3:115">
      <c r="C10" t="s">
        <v>51</v>
      </c>
      <c r="D10" t="s">
        <v>115</v>
      </c>
      <c r="E10" s="1">
        <f t="shared" ref="E10:E35" si="4">SUM(I10:AM10)</f>
        <v>0</v>
      </c>
      <c r="F10" s="1">
        <f t="shared" si="1"/>
        <v>0</v>
      </c>
      <c r="G10" s="1">
        <f t="shared" si="2"/>
        <v>0</v>
      </c>
      <c r="H10" s="1">
        <f t="shared" si="3"/>
        <v>0</v>
      </c>
    </row>
    <row r="11" spans="3:115">
      <c r="C11" t="s">
        <v>53</v>
      </c>
      <c r="D11" t="s">
        <v>117</v>
      </c>
      <c r="E11" s="1">
        <f t="shared" si="4"/>
        <v>0</v>
      </c>
      <c r="F11" s="1">
        <f t="shared" si="1"/>
        <v>0</v>
      </c>
      <c r="G11" s="1">
        <f t="shared" si="2"/>
        <v>0</v>
      </c>
      <c r="H11" s="1">
        <f t="shared" si="3"/>
        <v>0</v>
      </c>
    </row>
    <row r="12" spans="3:115">
      <c r="C12" t="s">
        <v>69</v>
      </c>
      <c r="D12" t="s">
        <v>119</v>
      </c>
      <c r="E12" s="1">
        <f t="shared" si="4"/>
        <v>0</v>
      </c>
      <c r="F12" s="1">
        <f t="shared" si="1"/>
        <v>0</v>
      </c>
      <c r="G12" s="1">
        <f t="shared" si="2"/>
        <v>0</v>
      </c>
      <c r="H12" s="1">
        <f t="shared" si="3"/>
        <v>0</v>
      </c>
    </row>
    <row r="13" spans="3:115">
      <c r="C13" t="s">
        <v>69</v>
      </c>
      <c r="D13" t="s">
        <v>121</v>
      </c>
      <c r="E13" s="1">
        <f t="shared" si="4"/>
        <v>0</v>
      </c>
      <c r="F13" s="1">
        <f t="shared" si="1"/>
        <v>0</v>
      </c>
      <c r="G13" s="1">
        <f t="shared" si="2"/>
        <v>0</v>
      </c>
      <c r="H13" s="1">
        <f t="shared" si="3"/>
        <v>0</v>
      </c>
    </row>
    <row r="14" spans="3:115">
      <c r="C14" t="s">
        <v>69</v>
      </c>
      <c r="D14" t="s">
        <v>122</v>
      </c>
      <c r="E14" s="1">
        <f t="shared" si="4"/>
        <v>0</v>
      </c>
      <c r="F14" s="1">
        <f t="shared" si="1"/>
        <v>0</v>
      </c>
      <c r="G14" s="1">
        <f t="shared" si="2"/>
        <v>0</v>
      </c>
      <c r="H14" s="1">
        <f t="shared" si="3"/>
        <v>0</v>
      </c>
    </row>
    <row r="15" spans="3:115" ht="42.75">
      <c r="C15" t="s">
        <v>69</v>
      </c>
      <c r="D15" s="4" t="s">
        <v>124</v>
      </c>
      <c r="E15" s="1">
        <f t="shared" si="4"/>
        <v>0</v>
      </c>
      <c r="F15" s="1">
        <f t="shared" si="1"/>
        <v>0</v>
      </c>
      <c r="G15" s="1">
        <f t="shared" si="2"/>
        <v>0</v>
      </c>
      <c r="H15" s="1">
        <f t="shared" si="3"/>
        <v>0</v>
      </c>
    </row>
    <row r="16" spans="3:115">
      <c r="C16" t="s">
        <v>125</v>
      </c>
      <c r="D16" t="s">
        <v>127</v>
      </c>
      <c r="E16" s="1">
        <f t="shared" si="4"/>
        <v>12</v>
      </c>
      <c r="F16" s="1">
        <f t="shared" si="1"/>
        <v>0</v>
      </c>
      <c r="G16" s="1">
        <f t="shared" si="2"/>
        <v>0</v>
      </c>
      <c r="H16" s="1">
        <f t="shared" si="3"/>
        <v>0</v>
      </c>
      <c r="O16">
        <v>12</v>
      </c>
    </row>
    <row r="17" spans="3:8">
      <c r="C17" t="s">
        <v>129</v>
      </c>
      <c r="D17" t="s">
        <v>130</v>
      </c>
      <c r="E17" s="1">
        <f t="shared" si="4"/>
        <v>0</v>
      </c>
      <c r="F17" s="1">
        <f t="shared" si="1"/>
        <v>0</v>
      </c>
      <c r="G17" s="1">
        <f t="shared" si="2"/>
        <v>0</v>
      </c>
      <c r="H17" s="1">
        <f t="shared" si="3"/>
        <v>0</v>
      </c>
    </row>
    <row r="18" spans="3:8">
      <c r="C18" t="s">
        <v>129</v>
      </c>
      <c r="D18" t="s">
        <v>132</v>
      </c>
      <c r="E18" s="1">
        <f t="shared" si="4"/>
        <v>0</v>
      </c>
      <c r="F18" s="1">
        <f t="shared" si="1"/>
        <v>0</v>
      </c>
      <c r="G18" s="1">
        <f t="shared" si="2"/>
        <v>0</v>
      </c>
      <c r="H18" s="1">
        <f t="shared" si="3"/>
        <v>0</v>
      </c>
    </row>
    <row r="19" spans="3:8">
      <c r="C19" t="s">
        <v>129</v>
      </c>
      <c r="D19" t="s">
        <v>133</v>
      </c>
      <c r="E19" s="1">
        <f t="shared" si="4"/>
        <v>0</v>
      </c>
      <c r="F19" s="1">
        <f t="shared" si="1"/>
        <v>0</v>
      </c>
      <c r="G19" s="1">
        <f t="shared" si="2"/>
        <v>0</v>
      </c>
      <c r="H19" s="1">
        <f t="shared" si="3"/>
        <v>0</v>
      </c>
    </row>
    <row r="20" spans="3:8">
      <c r="C20" t="s">
        <v>129</v>
      </c>
      <c r="D20" t="s">
        <v>134</v>
      </c>
      <c r="E20" s="1">
        <f t="shared" si="4"/>
        <v>0</v>
      </c>
      <c r="F20" s="1">
        <f t="shared" si="1"/>
        <v>0</v>
      </c>
      <c r="G20" s="1">
        <f t="shared" si="2"/>
        <v>0</v>
      </c>
      <c r="H20" s="1">
        <f t="shared" si="3"/>
        <v>0</v>
      </c>
    </row>
    <row r="21" spans="3:8">
      <c r="C21" t="s">
        <v>129</v>
      </c>
      <c r="D21" t="s">
        <v>135</v>
      </c>
      <c r="E21" s="1">
        <f t="shared" si="4"/>
        <v>0</v>
      </c>
      <c r="F21" s="1">
        <f t="shared" si="1"/>
        <v>0</v>
      </c>
      <c r="G21" s="1">
        <f t="shared" si="2"/>
        <v>0</v>
      </c>
      <c r="H21" s="1">
        <f t="shared" si="3"/>
        <v>0</v>
      </c>
    </row>
    <row r="22" spans="3:8">
      <c r="C22" t="s">
        <v>129</v>
      </c>
      <c r="D22" t="s">
        <v>137</v>
      </c>
      <c r="E22" s="1">
        <f t="shared" si="4"/>
        <v>0</v>
      </c>
      <c r="F22" s="1">
        <f t="shared" si="1"/>
        <v>0</v>
      </c>
      <c r="G22" s="1">
        <f t="shared" si="2"/>
        <v>0</v>
      </c>
      <c r="H22" s="1">
        <f t="shared" si="3"/>
        <v>0</v>
      </c>
    </row>
    <row r="23" spans="3:8">
      <c r="C23" t="s">
        <v>138</v>
      </c>
      <c r="D23" t="s">
        <v>140</v>
      </c>
      <c r="E23" s="1">
        <f t="shared" si="4"/>
        <v>0</v>
      </c>
      <c r="F23" s="1">
        <f t="shared" si="1"/>
        <v>0</v>
      </c>
      <c r="G23" s="1">
        <f t="shared" si="2"/>
        <v>0</v>
      </c>
      <c r="H23" s="1">
        <f t="shared" si="3"/>
        <v>0</v>
      </c>
    </row>
    <row r="24" spans="3:8">
      <c r="C24" t="s">
        <v>138</v>
      </c>
      <c r="D24" t="s">
        <v>144</v>
      </c>
      <c r="E24" s="1">
        <f t="shared" si="4"/>
        <v>0</v>
      </c>
      <c r="F24" s="1">
        <f t="shared" si="1"/>
        <v>0</v>
      </c>
      <c r="G24" s="1">
        <f t="shared" si="2"/>
        <v>0</v>
      </c>
      <c r="H24" s="1">
        <f t="shared" si="3"/>
        <v>0</v>
      </c>
    </row>
    <row r="25" spans="3:8">
      <c r="C25" t="s">
        <v>138</v>
      </c>
      <c r="D25" t="s">
        <v>145</v>
      </c>
      <c r="E25" s="1">
        <f t="shared" si="4"/>
        <v>0</v>
      </c>
      <c r="F25" s="1">
        <f t="shared" si="1"/>
        <v>0</v>
      </c>
      <c r="G25" s="1">
        <f t="shared" si="2"/>
        <v>0</v>
      </c>
      <c r="H25" s="1">
        <f t="shared" si="3"/>
        <v>0</v>
      </c>
    </row>
    <row r="26" spans="3:8">
      <c r="C26" t="s">
        <v>138</v>
      </c>
      <c r="D26" t="s">
        <v>146</v>
      </c>
      <c r="E26" s="1">
        <f t="shared" si="4"/>
        <v>0</v>
      </c>
      <c r="F26" s="1">
        <f t="shared" si="1"/>
        <v>0</v>
      </c>
      <c r="G26" s="1">
        <f t="shared" si="2"/>
        <v>0</v>
      </c>
      <c r="H26" s="1">
        <f t="shared" si="3"/>
        <v>0</v>
      </c>
    </row>
    <row r="27" spans="3:8">
      <c r="C27" t="s">
        <v>138</v>
      </c>
      <c r="D27" t="s">
        <v>147</v>
      </c>
      <c r="E27" s="1">
        <f t="shared" si="4"/>
        <v>0</v>
      </c>
      <c r="F27" s="1">
        <f t="shared" si="1"/>
        <v>0</v>
      </c>
      <c r="G27" s="1">
        <f t="shared" si="2"/>
        <v>0</v>
      </c>
      <c r="H27" s="1">
        <f t="shared" si="3"/>
        <v>0</v>
      </c>
    </row>
    <row r="28" spans="3:8">
      <c r="C28" t="s">
        <v>138</v>
      </c>
      <c r="D28" t="s">
        <v>149</v>
      </c>
      <c r="E28" s="1">
        <f t="shared" si="4"/>
        <v>0</v>
      </c>
      <c r="F28" s="1">
        <f t="shared" si="1"/>
        <v>0</v>
      </c>
      <c r="G28" s="1">
        <f t="shared" si="2"/>
        <v>0</v>
      </c>
      <c r="H28" s="1">
        <f t="shared" si="3"/>
        <v>0</v>
      </c>
    </row>
    <row r="29" spans="3:8">
      <c r="C29" t="s">
        <v>138</v>
      </c>
      <c r="D29" t="s">
        <v>150</v>
      </c>
      <c r="E29" s="1">
        <f t="shared" si="4"/>
        <v>0</v>
      </c>
      <c r="F29" s="1">
        <f t="shared" si="1"/>
        <v>0</v>
      </c>
      <c r="G29" s="1">
        <f t="shared" si="2"/>
        <v>0</v>
      </c>
      <c r="H29" s="1">
        <f t="shared" si="3"/>
        <v>0</v>
      </c>
    </row>
    <row r="30" spans="3:8">
      <c r="C30" t="s">
        <v>138</v>
      </c>
      <c r="D30" t="s">
        <v>153</v>
      </c>
      <c r="E30" s="1">
        <f t="shared" si="4"/>
        <v>0</v>
      </c>
      <c r="F30" s="1">
        <f t="shared" si="1"/>
        <v>0</v>
      </c>
      <c r="G30" s="1">
        <f t="shared" si="2"/>
        <v>0</v>
      </c>
      <c r="H30" s="1">
        <f t="shared" si="3"/>
        <v>0</v>
      </c>
    </row>
    <row r="31" spans="3:8">
      <c r="C31" t="s">
        <v>138</v>
      </c>
      <c r="D31" t="s">
        <v>155</v>
      </c>
      <c r="E31" s="1">
        <f t="shared" si="4"/>
        <v>0</v>
      </c>
      <c r="F31" s="1">
        <f t="shared" si="1"/>
        <v>0</v>
      </c>
      <c r="G31" s="1">
        <f t="shared" si="2"/>
        <v>0</v>
      </c>
      <c r="H31" s="1">
        <f t="shared" si="3"/>
        <v>0</v>
      </c>
    </row>
    <row r="32" spans="3:8">
      <c r="C32" t="s">
        <v>138</v>
      </c>
      <c r="D32" t="s">
        <v>156</v>
      </c>
      <c r="E32" s="1">
        <f t="shared" si="4"/>
        <v>0</v>
      </c>
      <c r="F32" s="1">
        <f t="shared" si="1"/>
        <v>0</v>
      </c>
      <c r="G32" s="1">
        <f t="shared" si="2"/>
        <v>0</v>
      </c>
      <c r="H32" s="1">
        <f t="shared" si="3"/>
        <v>0</v>
      </c>
    </row>
    <row r="33" spans="3:8">
      <c r="C33" t="s">
        <v>138</v>
      </c>
      <c r="D33" t="s">
        <v>157</v>
      </c>
      <c r="E33" s="1">
        <f t="shared" si="4"/>
        <v>0</v>
      </c>
      <c r="F33" s="1">
        <f t="shared" si="1"/>
        <v>0</v>
      </c>
      <c r="G33" s="1">
        <f t="shared" si="2"/>
        <v>0</v>
      </c>
      <c r="H33" s="1">
        <f t="shared" si="3"/>
        <v>0</v>
      </c>
    </row>
    <row r="34" spans="3:8">
      <c r="C34" t="s">
        <v>138</v>
      </c>
      <c r="D34" t="s">
        <v>159</v>
      </c>
      <c r="E34" s="1">
        <f t="shared" si="4"/>
        <v>0</v>
      </c>
      <c r="F34" s="1">
        <f t="shared" si="1"/>
        <v>0</v>
      </c>
      <c r="G34" s="1">
        <f t="shared" si="2"/>
        <v>0</v>
      </c>
      <c r="H34" s="1">
        <f t="shared" si="3"/>
        <v>0</v>
      </c>
    </row>
    <row r="35" spans="3:8">
      <c r="C35" t="s">
        <v>138</v>
      </c>
      <c r="D35" t="s">
        <v>160</v>
      </c>
      <c r="E35" s="1">
        <f t="shared" si="4"/>
        <v>0</v>
      </c>
      <c r="F35" s="1">
        <f t="shared" si="1"/>
        <v>0</v>
      </c>
      <c r="G35" s="1">
        <f t="shared" si="2"/>
        <v>0</v>
      </c>
      <c r="H35" s="1">
        <f t="shared" si="3"/>
        <v>0</v>
      </c>
    </row>
  </sheetData>
  <mergeCells count="4">
    <mergeCell ref="I2:AL2"/>
    <mergeCell ref="AM2:BQ2"/>
    <mergeCell ref="BR2:CV2"/>
    <mergeCell ref="C2:G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DEFBC-C990-418E-9678-57E746E20033}">
  <sheetPr>
    <tabColor theme="9" tint="0.59999389629810485"/>
    <pageSetUpPr fitToPage="1"/>
  </sheetPr>
  <dimension ref="A1:E37"/>
  <sheetViews>
    <sheetView showGridLines="0" zoomScale="50" zoomScaleNormal="50" workbookViewId="0">
      <selection activeCell="L53" sqref="L53"/>
    </sheetView>
  </sheetViews>
  <sheetFormatPr baseColWidth="10" defaultColWidth="9.1328125" defaultRowHeight="13.5"/>
  <cols>
    <col min="1" max="1" width="23.3984375" style="48" customWidth="1"/>
    <col min="2" max="2" width="23" style="48" customWidth="1"/>
    <col min="3" max="4" width="16.86328125" style="48" bestFit="1" customWidth="1"/>
    <col min="5" max="5" width="14.265625" style="48" customWidth="1"/>
    <col min="6" max="16384" width="9.1328125" style="48"/>
  </cols>
  <sheetData>
    <row r="1" spans="1:5" ht="14.25" thickBot="1">
      <c r="A1" s="47"/>
      <c r="B1" s="47"/>
      <c r="C1" s="47"/>
      <c r="D1" s="47"/>
    </row>
    <row r="2" spans="1:5" ht="15" customHeight="1">
      <c r="A2" s="49" t="s">
        <v>255</v>
      </c>
      <c r="B2" s="50">
        <v>2500</v>
      </c>
      <c r="C2" s="227" t="s">
        <v>256</v>
      </c>
      <c r="D2" s="228"/>
      <c r="E2" s="228"/>
    </row>
    <row r="3" spans="1:5" ht="15" customHeight="1">
      <c r="A3" s="49" t="s">
        <v>257</v>
      </c>
      <c r="B3" s="50">
        <f>B2*20%</f>
        <v>500</v>
      </c>
      <c r="C3" s="229"/>
      <c r="D3" s="230"/>
      <c r="E3" s="230"/>
    </row>
    <row r="4" spans="1:5" ht="17.25" customHeight="1">
      <c r="A4" s="49" t="s">
        <v>258</v>
      </c>
      <c r="B4" s="51">
        <v>46143</v>
      </c>
      <c r="C4" s="229"/>
      <c r="D4" s="230"/>
      <c r="E4" s="230"/>
    </row>
    <row r="5" spans="1:5" ht="19.5" customHeight="1" thickBot="1">
      <c r="A5" s="49" t="s">
        <v>259</v>
      </c>
      <c r="B5" s="51">
        <v>46162</v>
      </c>
      <c r="C5" s="231"/>
      <c r="D5" s="232"/>
      <c r="E5" s="232"/>
    </row>
    <row r="6" spans="1:5" ht="27.75" customHeight="1" thickBot="1">
      <c r="A6" s="49"/>
      <c r="B6" s="233" t="s">
        <v>260</v>
      </c>
      <c r="C6" s="234"/>
      <c r="D6" s="235" t="s">
        <v>261</v>
      </c>
      <c r="E6" s="236"/>
    </row>
    <row r="7" spans="1:5" ht="42.75" customHeight="1" thickBot="1">
      <c r="A7" s="52" t="s">
        <v>262</v>
      </c>
      <c r="B7" s="53" t="s">
        <v>263</v>
      </c>
      <c r="C7" s="54" t="s">
        <v>264</v>
      </c>
      <c r="D7" s="55" t="s">
        <v>265</v>
      </c>
      <c r="E7" s="56" t="s">
        <v>264</v>
      </c>
    </row>
    <row r="8" spans="1:5" ht="18" customHeight="1">
      <c r="A8" s="57">
        <v>46143</v>
      </c>
      <c r="B8" s="58">
        <v>0</v>
      </c>
      <c r="C8" s="58">
        <v>0</v>
      </c>
      <c r="D8" s="59">
        <v>0</v>
      </c>
      <c r="E8" s="60">
        <v>0</v>
      </c>
    </row>
    <row r="9" spans="1:5" ht="18" customHeight="1">
      <c r="A9" s="57">
        <v>46144</v>
      </c>
      <c r="B9" s="58">
        <f>C8+C9</f>
        <v>62</v>
      </c>
      <c r="C9" s="58">
        <v>62</v>
      </c>
      <c r="D9" s="59">
        <f>E8+E9</f>
        <v>1</v>
      </c>
      <c r="E9" s="60">
        <v>1</v>
      </c>
    </row>
    <row r="10" spans="1:5" ht="18" customHeight="1">
      <c r="A10" s="57">
        <v>46145</v>
      </c>
      <c r="B10" s="58">
        <f>C8+C9+C10</f>
        <v>84</v>
      </c>
      <c r="C10" s="58">
        <v>22</v>
      </c>
      <c r="D10" s="59">
        <f>E8+E9+E10</f>
        <v>3</v>
      </c>
      <c r="E10" s="60">
        <v>2</v>
      </c>
    </row>
    <row r="11" spans="1:5" ht="18" customHeight="1">
      <c r="A11" s="57">
        <v>46146</v>
      </c>
      <c r="B11" s="58">
        <f t="shared" ref="B11" si="0">C9+C10+C11</f>
        <v>108</v>
      </c>
      <c r="C11" s="58">
        <v>24</v>
      </c>
      <c r="D11" s="59">
        <f t="shared" ref="D11" si="1">E9+E10+E11</f>
        <v>6</v>
      </c>
      <c r="E11" s="60">
        <v>3</v>
      </c>
    </row>
    <row r="12" spans="1:5" ht="18" customHeight="1">
      <c r="A12" s="57">
        <v>46147</v>
      </c>
      <c r="B12" s="58">
        <f>C10+C11+C12+C9</f>
        <v>134</v>
      </c>
      <c r="C12" s="58">
        <v>26</v>
      </c>
      <c r="D12" s="59">
        <f>E10+E11+E12+E9</f>
        <v>10</v>
      </c>
      <c r="E12" s="61">
        <v>4</v>
      </c>
    </row>
    <row r="13" spans="1:5" ht="18" customHeight="1">
      <c r="A13" s="57">
        <v>46148</v>
      </c>
      <c r="B13" s="58">
        <f>C11+C12+C13+C10+C9</f>
        <v>162</v>
      </c>
      <c r="C13" s="58">
        <v>28</v>
      </c>
      <c r="D13" s="59">
        <f>E11+E12+E13+E10+E9</f>
        <v>12</v>
      </c>
      <c r="E13" s="61">
        <v>2</v>
      </c>
    </row>
    <row r="14" spans="1:5" ht="18" customHeight="1">
      <c r="A14" s="57">
        <v>46149</v>
      </c>
      <c r="B14" s="58">
        <f>C12+C13+C14+C11+C10+C9</f>
        <v>192</v>
      </c>
      <c r="C14" s="58">
        <v>30</v>
      </c>
      <c r="D14" s="59"/>
      <c r="E14" s="61"/>
    </row>
    <row r="15" spans="1:5" ht="18" customHeight="1">
      <c r="A15" s="57">
        <v>46150</v>
      </c>
      <c r="B15" s="58">
        <f>C13+C14+C15+C12+C11+C10+C9</f>
        <v>222</v>
      </c>
      <c r="C15" s="58">
        <v>30</v>
      </c>
      <c r="D15" s="59"/>
      <c r="E15" s="61"/>
    </row>
    <row r="16" spans="1:5" ht="18" customHeight="1">
      <c r="A16" s="57">
        <v>46151</v>
      </c>
      <c r="B16" s="58">
        <f>C14+C15+C16+C13+C12+C11+C10+C9</f>
        <v>252</v>
      </c>
      <c r="C16" s="58">
        <v>30</v>
      </c>
      <c r="D16" s="59"/>
      <c r="E16" s="61"/>
    </row>
    <row r="17" spans="1:5" ht="18" customHeight="1">
      <c r="A17" s="57">
        <v>46152</v>
      </c>
      <c r="B17" s="58">
        <f>C15+C16+C17+C14+C13+C12+C11+C10+C9</f>
        <v>284</v>
      </c>
      <c r="C17" s="58">
        <v>32</v>
      </c>
      <c r="D17" s="59"/>
      <c r="E17" s="61"/>
    </row>
    <row r="18" spans="1:5" ht="18" customHeight="1">
      <c r="A18" s="57">
        <v>46153</v>
      </c>
      <c r="B18" s="58">
        <f>C16+C17+C18+C15+C14+C13+C12+C11+C10+C9</f>
        <v>316</v>
      </c>
      <c r="C18" s="58">
        <v>32</v>
      </c>
      <c r="D18" s="59"/>
      <c r="E18" s="61"/>
    </row>
    <row r="19" spans="1:5" ht="18" customHeight="1">
      <c r="A19" s="57">
        <v>46154</v>
      </c>
      <c r="B19" s="58">
        <f>C17+C18+C19+C16+C15+C14+C13+C12+C11+C10+C9</f>
        <v>348</v>
      </c>
      <c r="C19" s="58">
        <v>32</v>
      </c>
      <c r="D19" s="59"/>
      <c r="E19" s="61"/>
    </row>
    <row r="20" spans="1:5" ht="18" customHeight="1">
      <c r="A20" s="57">
        <v>46155</v>
      </c>
      <c r="B20" s="58">
        <f>C18+C19+C20+C17+C16+C15+C14+C13+C12+C11+C10+C9</f>
        <v>380</v>
      </c>
      <c r="C20" s="58">
        <v>32</v>
      </c>
      <c r="D20" s="59"/>
      <c r="E20" s="61"/>
    </row>
    <row r="21" spans="1:5" ht="18" customHeight="1">
      <c r="A21" s="57">
        <v>46156</v>
      </c>
      <c r="B21" s="58">
        <f>C19+C20+C21+C18+C17+C16+C15+C14+C13+C12+C11+C10+C9</f>
        <v>412</v>
      </c>
      <c r="C21" s="58">
        <v>32</v>
      </c>
      <c r="D21" s="59"/>
      <c r="E21" s="61"/>
    </row>
    <row r="22" spans="1:5" ht="18" customHeight="1">
      <c r="A22" s="57">
        <v>46157</v>
      </c>
      <c r="B22" s="58">
        <f>C20+C21+C22+C19+C18+C17+C16+C15+C14+C13+C12+C11+C10+C9</f>
        <v>442</v>
      </c>
      <c r="C22" s="58">
        <v>30</v>
      </c>
      <c r="D22" s="59"/>
      <c r="E22" s="61"/>
    </row>
    <row r="23" spans="1:5" ht="15.4">
      <c r="A23" s="57">
        <v>46158</v>
      </c>
      <c r="B23" s="58">
        <f>C21+C22+C23+C20+C19+C18+C17+C16+C15+C14+C13+C12+C11+C10+C9</f>
        <v>458</v>
      </c>
      <c r="C23" s="58">
        <v>16</v>
      </c>
      <c r="D23" s="59"/>
      <c r="E23" s="61"/>
    </row>
    <row r="24" spans="1:5" ht="15.4">
      <c r="A24" s="57">
        <v>46159</v>
      </c>
      <c r="B24" s="58">
        <f>C22+C23+C24+C21+C20+C19+C18+C17+C16+C15+C14+C13+C12+C11+C10+C9</f>
        <v>474</v>
      </c>
      <c r="C24" s="58">
        <v>16</v>
      </c>
      <c r="D24" s="59"/>
      <c r="E24" s="61"/>
    </row>
    <row r="25" spans="1:5" ht="15.4">
      <c r="A25" s="57">
        <v>46160</v>
      </c>
      <c r="B25" s="58">
        <f>C23+C24+C25+C22+C21+C20+C19+C18+C17+C16+C15+C14+C13+C12+C11+C10+C9</f>
        <v>490</v>
      </c>
      <c r="C25" s="58">
        <v>16</v>
      </c>
      <c r="D25" s="59"/>
      <c r="E25" s="61"/>
    </row>
    <row r="26" spans="1:5" ht="15.4">
      <c r="A26" s="57">
        <v>46161</v>
      </c>
      <c r="B26" s="58">
        <f>C24+C25+C26+C23+C22+C21+C20+C19+C18+C17+C16+C15+C14+C13+C12+C11+C10+C9</f>
        <v>506</v>
      </c>
      <c r="C26" s="58">
        <v>16</v>
      </c>
      <c r="D26" s="59"/>
      <c r="E26" s="61"/>
    </row>
    <row r="27" spans="1:5" ht="15.4">
      <c r="A27" s="57">
        <v>46162</v>
      </c>
      <c r="B27" s="58">
        <f>C25+C26+C27+C24+C23+C22+C21+C20+C19+C18+C17+C16+C15+C14+C13+C12+C11+C10+C9</f>
        <v>512</v>
      </c>
      <c r="C27" s="58">
        <v>6</v>
      </c>
      <c r="D27" s="59"/>
      <c r="E27" s="61"/>
    </row>
    <row r="34" spans="2:3" ht="14.25">
      <c r="B34" s="62"/>
      <c r="C34" s="63"/>
    </row>
    <row r="37" spans="2:3">
      <c r="C37" s="63"/>
    </row>
  </sheetData>
  <mergeCells count="3">
    <mergeCell ref="C2:E5"/>
    <mergeCell ref="B6:C6"/>
    <mergeCell ref="D6:E6"/>
  </mergeCells>
  <pageMargins left="0.51181102362204722" right="0.51181102362204722" top="0.55118110236220474" bottom="0.55118110236220474" header="0.31496062992125984" footer="0.31496062992125984"/>
  <pageSetup scale="44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562A3-0651-4955-A65C-677A3CFCC3F6}">
  <sheetPr>
    <tabColor theme="9" tint="0.59999389629810485"/>
    <pageSetUpPr fitToPage="1"/>
  </sheetPr>
  <dimension ref="A1:E93"/>
  <sheetViews>
    <sheetView showGridLines="0" topLeftCell="A10" zoomScale="55" zoomScaleNormal="55" workbookViewId="0">
      <selection activeCell="AF10" sqref="AF10"/>
    </sheetView>
  </sheetViews>
  <sheetFormatPr baseColWidth="10" defaultColWidth="9.1328125" defaultRowHeight="13.5"/>
  <cols>
    <col min="1" max="1" width="23.3984375" style="48" customWidth="1"/>
    <col min="2" max="2" width="20.265625" style="48" customWidth="1"/>
    <col min="3" max="3" width="13" style="48" customWidth="1"/>
    <col min="4" max="4" width="12.86328125" style="48" customWidth="1"/>
    <col min="5" max="5" width="16.59765625" style="48" customWidth="1"/>
    <col min="6" max="16384" width="9.1328125" style="48"/>
  </cols>
  <sheetData>
    <row r="1" spans="1:5" ht="14.25" thickBot="1">
      <c r="A1" s="69">
        <f>B3/B2</f>
        <v>0.6420545746388443</v>
      </c>
      <c r="B1" s="47"/>
      <c r="C1" s="47"/>
      <c r="D1" s="47"/>
    </row>
    <row r="2" spans="1:5" ht="15" customHeight="1">
      <c r="A2" s="49" t="s">
        <v>255</v>
      </c>
      <c r="B2" s="50">
        <v>623</v>
      </c>
      <c r="C2" s="237" t="s">
        <v>266</v>
      </c>
      <c r="D2" s="238"/>
      <c r="E2" s="238"/>
    </row>
    <row r="3" spans="1:5" ht="15" customHeight="1">
      <c r="A3" s="49" t="s">
        <v>267</v>
      </c>
      <c r="B3" s="50">
        <v>400</v>
      </c>
      <c r="C3" s="239"/>
      <c r="D3" s="240"/>
      <c r="E3" s="240"/>
    </row>
    <row r="4" spans="1:5" ht="17.25" customHeight="1">
      <c r="A4" s="49" t="s">
        <v>258</v>
      </c>
      <c r="B4" s="51">
        <v>46143</v>
      </c>
      <c r="C4" s="239"/>
      <c r="D4" s="240"/>
      <c r="E4" s="240"/>
    </row>
    <row r="5" spans="1:5" ht="19.5" customHeight="1" thickBot="1">
      <c r="A5" s="49" t="s">
        <v>259</v>
      </c>
      <c r="B5" s="51">
        <v>46162</v>
      </c>
      <c r="C5" s="241"/>
      <c r="D5" s="242"/>
      <c r="E5" s="242"/>
    </row>
    <row r="6" spans="1:5" ht="27.75" customHeight="1" thickBot="1">
      <c r="A6" s="49"/>
      <c r="B6" s="243" t="s">
        <v>260</v>
      </c>
      <c r="C6" s="244"/>
      <c r="D6" s="245" t="s">
        <v>261</v>
      </c>
      <c r="E6" s="246"/>
    </row>
    <row r="7" spans="1:5" ht="42.75" customHeight="1" thickBot="1">
      <c r="A7" s="52" t="s">
        <v>262</v>
      </c>
      <c r="B7" s="65" t="s">
        <v>263</v>
      </c>
      <c r="C7" s="66" t="s">
        <v>264</v>
      </c>
      <c r="D7" s="67" t="s">
        <v>265</v>
      </c>
      <c r="E7" s="68" t="s">
        <v>264</v>
      </c>
    </row>
    <row r="8" spans="1:5" ht="18" customHeight="1">
      <c r="A8" s="64">
        <v>46143</v>
      </c>
      <c r="B8" s="58">
        <v>0</v>
      </c>
      <c r="C8" s="58">
        <v>0</v>
      </c>
      <c r="D8" s="58">
        <v>0</v>
      </c>
      <c r="E8" s="60">
        <v>0</v>
      </c>
    </row>
    <row r="9" spans="1:5" ht="18" customHeight="1">
      <c r="A9" s="64">
        <v>46144</v>
      </c>
      <c r="B9" s="58">
        <f>C8+C9</f>
        <v>8</v>
      </c>
      <c r="C9" s="58">
        <v>8</v>
      </c>
      <c r="D9" s="58">
        <f>E8+E9</f>
        <v>4</v>
      </c>
      <c r="E9" s="60">
        <v>4</v>
      </c>
    </row>
    <row r="10" spans="1:5" ht="18" customHeight="1">
      <c r="A10" s="64">
        <v>46145</v>
      </c>
      <c r="B10" s="58">
        <f>C8+C9+C10</f>
        <v>20</v>
      </c>
      <c r="C10" s="58">
        <v>12</v>
      </c>
      <c r="D10" s="58">
        <f>E8+E9+E10</f>
        <v>12</v>
      </c>
      <c r="E10" s="60">
        <v>8</v>
      </c>
    </row>
    <row r="11" spans="1:5" ht="18" customHeight="1">
      <c r="A11" s="64">
        <v>46146</v>
      </c>
      <c r="B11" s="58">
        <f t="shared" ref="B11" si="0">C9+C10+C11</f>
        <v>33</v>
      </c>
      <c r="C11" s="58">
        <v>13</v>
      </c>
      <c r="D11" s="58">
        <f t="shared" ref="D11" si="1">E9+E10+E11</f>
        <v>23</v>
      </c>
      <c r="E11" s="60">
        <v>11</v>
      </c>
    </row>
    <row r="12" spans="1:5" ht="18" customHeight="1">
      <c r="A12" s="64">
        <v>46147</v>
      </c>
      <c r="B12" s="58">
        <f>C10+C11+C12+C9</f>
        <v>45</v>
      </c>
      <c r="C12" s="58">
        <v>12</v>
      </c>
      <c r="D12" s="58">
        <f>E10+E11+E12+E9</f>
        <v>46</v>
      </c>
      <c r="E12" s="61">
        <v>23</v>
      </c>
    </row>
    <row r="13" spans="1:5" ht="18" customHeight="1">
      <c r="A13" s="64">
        <v>46148</v>
      </c>
      <c r="B13" s="58">
        <f>C11+C12+C13+C10+C9</f>
        <v>59</v>
      </c>
      <c r="C13" s="58">
        <v>14</v>
      </c>
      <c r="D13" s="58">
        <f>E11+E12+E13+E10+E9</f>
        <v>68</v>
      </c>
      <c r="E13" s="61">
        <v>22</v>
      </c>
    </row>
    <row r="14" spans="1:5" ht="18" customHeight="1">
      <c r="A14" s="64">
        <v>46149</v>
      </c>
      <c r="B14" s="58">
        <f>C12+C13+C14+C11+C10+C9</f>
        <v>74</v>
      </c>
      <c r="C14" s="58">
        <v>15</v>
      </c>
      <c r="D14" s="58">
        <f>E12+E13+E14+E11+E10+E9</f>
        <v>103</v>
      </c>
      <c r="E14" s="61">
        <v>35</v>
      </c>
    </row>
    <row r="15" spans="1:5" ht="18" customHeight="1">
      <c r="A15" s="64">
        <v>46150</v>
      </c>
      <c r="B15" s="58">
        <f>C13+C14+C15+C12+C11+C10+C9</f>
        <v>86</v>
      </c>
      <c r="C15" s="58">
        <v>12</v>
      </c>
      <c r="D15" s="58">
        <f>E13+E14+E15+E12+E11+E10+E9</f>
        <v>137</v>
      </c>
      <c r="E15" s="61">
        <v>34</v>
      </c>
    </row>
    <row r="16" spans="1:5" ht="18" customHeight="1">
      <c r="A16" s="64">
        <v>46151</v>
      </c>
      <c r="B16" s="58">
        <f>C14+C15+C16+C13+C12+C11+C10+C9</f>
        <v>98</v>
      </c>
      <c r="C16" s="58">
        <v>12</v>
      </c>
      <c r="D16" s="58">
        <f>E14+E15+E16+E13+E12+E11+E10+E9</f>
        <v>180</v>
      </c>
      <c r="E16" s="61">
        <v>43</v>
      </c>
    </row>
    <row r="17" spans="1:5" ht="18" customHeight="1">
      <c r="A17" s="64">
        <v>46152</v>
      </c>
      <c r="B17" s="58">
        <f>C15+C16+C17+C14+C13+C12+C11+C10+C9</f>
        <v>110</v>
      </c>
      <c r="C17" s="58">
        <v>12</v>
      </c>
      <c r="D17" s="58"/>
      <c r="E17" s="61"/>
    </row>
    <row r="18" spans="1:5" ht="18" customHeight="1">
      <c r="A18" s="64">
        <v>46153</v>
      </c>
      <c r="B18" s="58">
        <f>C16+C17+C18+C15+C14+C13+C12+C11+C10+C9</f>
        <v>118</v>
      </c>
      <c r="C18" s="58">
        <v>8</v>
      </c>
      <c r="D18" s="58"/>
      <c r="E18" s="61"/>
    </row>
    <row r="19" spans="1:5" ht="18" customHeight="1">
      <c r="A19" s="64">
        <v>46154</v>
      </c>
      <c r="B19" s="58">
        <f>C17+C18+C19+C16+C15+C14+C13+C12+C11+C10+C9</f>
        <v>127</v>
      </c>
      <c r="C19" s="58">
        <v>9</v>
      </c>
      <c r="D19" s="58"/>
      <c r="E19" s="61"/>
    </row>
    <row r="20" spans="1:5" ht="18" customHeight="1">
      <c r="A20" s="64">
        <v>46155</v>
      </c>
      <c r="B20" s="58">
        <f>C18+C19+C20+C17+C16+C15+C14+C13+C12+C11+C10+C9</f>
        <v>139</v>
      </c>
      <c r="C20" s="58">
        <v>12</v>
      </c>
      <c r="D20" s="58"/>
      <c r="E20" s="61"/>
    </row>
    <row r="21" spans="1:5" ht="18" customHeight="1">
      <c r="A21" s="64">
        <v>46156</v>
      </c>
      <c r="B21" s="58">
        <f>C19+C20+C21+C18+C17+C16+C15+C14+C13+C12+C11+C10+C9</f>
        <v>145</v>
      </c>
      <c r="C21" s="58">
        <v>6</v>
      </c>
      <c r="D21" s="58"/>
      <c r="E21" s="61"/>
    </row>
    <row r="22" spans="1:5" ht="18" customHeight="1">
      <c r="A22" s="64">
        <v>46157</v>
      </c>
      <c r="B22" s="58">
        <f>C20+C21+C22+C19+C18+C17+C16+C15+C14+C13+C12+C11+C10+C9</f>
        <v>151</v>
      </c>
      <c r="C22" s="58">
        <v>6</v>
      </c>
      <c r="D22" s="58"/>
      <c r="E22" s="61"/>
    </row>
    <row r="23" spans="1:5" ht="15.4">
      <c r="A23" s="64">
        <v>46158</v>
      </c>
      <c r="B23" s="58">
        <f>C21+C22+C23+C20+C19+C18+C17+C16+C15+C14+C13+C12+C11+C10+C9</f>
        <v>161</v>
      </c>
      <c r="C23" s="58">
        <v>10</v>
      </c>
      <c r="D23" s="58"/>
      <c r="E23" s="61"/>
    </row>
    <row r="24" spans="1:5" ht="15.4">
      <c r="A24" s="64">
        <v>46159</v>
      </c>
      <c r="B24" s="58">
        <f>C22+C23+C24+C21+C20+C19+C18+C17+C16+C15+C14+C13+C12+C11+C10+C9</f>
        <v>173</v>
      </c>
      <c r="C24" s="58">
        <v>12</v>
      </c>
      <c r="D24" s="58"/>
      <c r="E24" s="61"/>
    </row>
    <row r="25" spans="1:5" ht="15.4">
      <c r="A25" s="64">
        <v>46160</v>
      </c>
      <c r="B25" s="58">
        <f>C23+C24+C25+C22+C21+C20+C19+C18+C17+C16+C15+C14+C13+C12+C11+C10+C9</f>
        <v>181</v>
      </c>
      <c r="C25" s="58">
        <v>8</v>
      </c>
      <c r="D25" s="58"/>
      <c r="E25" s="61"/>
    </row>
    <row r="26" spans="1:5" ht="15.4">
      <c r="A26" s="64">
        <v>46161</v>
      </c>
      <c r="B26" s="58">
        <f>C24+C25+C26+C23+C22+C21+C20+C19+C18+C17+C16+C15+C14+C13+C12+C11+C10+C9</f>
        <v>190</v>
      </c>
      <c r="C26" s="58">
        <v>9</v>
      </c>
      <c r="D26" s="58"/>
      <c r="E26" s="61"/>
    </row>
    <row r="27" spans="1:5" ht="15.4">
      <c r="A27" s="64">
        <v>46162</v>
      </c>
      <c r="B27" s="58">
        <f>C25+C26+C27+C24+C23+C22+C21+C20+C19+C18+C17+C16+C15+C14+C13+C12+C11+C10+C9</f>
        <v>200</v>
      </c>
      <c r="C27" s="58">
        <v>10</v>
      </c>
      <c r="D27" s="58"/>
      <c r="E27" s="61"/>
    </row>
    <row r="28" spans="1:5" ht="15.4">
      <c r="A28" s="64">
        <v>46163</v>
      </c>
      <c r="B28" s="58"/>
      <c r="C28" s="58"/>
      <c r="D28" s="58"/>
      <c r="E28" s="61"/>
    </row>
    <row r="29" spans="1:5" ht="15.4">
      <c r="A29" s="64">
        <v>46164</v>
      </c>
      <c r="B29" s="58"/>
      <c r="C29" s="58"/>
      <c r="D29" s="58"/>
      <c r="E29" s="61"/>
    </row>
    <row r="30" spans="1:5" ht="15.4">
      <c r="A30" s="64">
        <v>46165</v>
      </c>
      <c r="B30" s="58"/>
      <c r="C30" s="58"/>
      <c r="D30" s="58"/>
      <c r="E30" s="61"/>
    </row>
    <row r="31" spans="1:5" ht="15.4">
      <c r="A31" s="64">
        <v>46166</v>
      </c>
      <c r="B31" s="58"/>
      <c r="C31" s="58"/>
      <c r="D31" s="58"/>
      <c r="E31" s="61"/>
    </row>
    <row r="32" spans="1:5" ht="15.4">
      <c r="A32" s="64">
        <v>46167</v>
      </c>
      <c r="B32" s="58"/>
      <c r="C32" s="58"/>
      <c r="D32" s="58"/>
      <c r="E32" s="61"/>
    </row>
    <row r="33" spans="1:5" ht="15.4">
      <c r="A33" s="64">
        <v>46168</v>
      </c>
      <c r="B33" s="58"/>
      <c r="C33" s="58"/>
      <c r="D33" s="58"/>
      <c r="E33" s="61"/>
    </row>
    <row r="34" spans="1:5" ht="15.4">
      <c r="A34" s="64">
        <v>46169</v>
      </c>
      <c r="B34" s="58"/>
      <c r="C34" s="58"/>
      <c r="D34" s="58"/>
      <c r="E34" s="61"/>
    </row>
    <row r="35" spans="1:5" ht="15.4">
      <c r="A35" s="64">
        <v>46170</v>
      </c>
      <c r="B35" s="58"/>
      <c r="C35" s="58"/>
      <c r="D35" s="58"/>
      <c r="E35" s="61"/>
    </row>
    <row r="36" spans="1:5" ht="15.4">
      <c r="A36" s="64">
        <v>46171</v>
      </c>
      <c r="B36" s="58"/>
      <c r="C36" s="58"/>
      <c r="D36" s="58"/>
      <c r="E36" s="61"/>
    </row>
    <row r="37" spans="1:5" ht="15.4">
      <c r="A37" s="64">
        <v>46172</v>
      </c>
      <c r="B37" s="58"/>
      <c r="C37" s="58"/>
      <c r="D37" s="58"/>
      <c r="E37" s="61"/>
    </row>
    <row r="38" spans="1:5" ht="15.4">
      <c r="A38" s="64">
        <v>46173</v>
      </c>
      <c r="B38" s="58"/>
      <c r="C38" s="58"/>
      <c r="D38" s="58"/>
      <c r="E38" s="61"/>
    </row>
    <row r="39" spans="1:5" ht="15.4">
      <c r="A39" s="64">
        <v>46174</v>
      </c>
      <c r="B39" s="58"/>
      <c r="C39" s="58"/>
      <c r="D39" s="58"/>
      <c r="E39" s="61"/>
    </row>
    <row r="40" spans="1:5" ht="15.4">
      <c r="A40" s="64">
        <v>46175</v>
      </c>
      <c r="B40" s="58"/>
      <c r="C40" s="58"/>
      <c r="D40" s="58"/>
      <c r="E40" s="61"/>
    </row>
    <row r="41" spans="1:5" ht="15.4">
      <c r="A41" s="64">
        <v>46176</v>
      </c>
      <c r="B41" s="58"/>
      <c r="C41" s="58"/>
      <c r="D41" s="58"/>
      <c r="E41" s="61"/>
    </row>
    <row r="42" spans="1:5" ht="15.4">
      <c r="A42" s="64">
        <v>46177</v>
      </c>
      <c r="B42" s="58"/>
      <c r="C42" s="58"/>
      <c r="D42" s="58"/>
      <c r="E42" s="61"/>
    </row>
    <row r="43" spans="1:5" ht="15.4">
      <c r="A43" s="64">
        <v>46178</v>
      </c>
      <c r="B43" s="58"/>
      <c r="C43" s="58"/>
      <c r="D43" s="58"/>
      <c r="E43" s="61"/>
    </row>
    <row r="44" spans="1:5" ht="15.4">
      <c r="A44" s="64">
        <v>46179</v>
      </c>
      <c r="B44" s="58"/>
      <c r="C44" s="58"/>
      <c r="D44" s="58"/>
      <c r="E44" s="61"/>
    </row>
    <row r="45" spans="1:5" ht="15.4">
      <c r="A45" s="64">
        <v>46180</v>
      </c>
      <c r="B45" s="58"/>
      <c r="C45" s="58"/>
      <c r="D45" s="58"/>
      <c r="E45" s="61"/>
    </row>
    <row r="46" spans="1:5" ht="15.4">
      <c r="A46" s="64">
        <v>46181</v>
      </c>
      <c r="B46" s="58"/>
      <c r="C46" s="58"/>
      <c r="D46" s="58"/>
      <c r="E46" s="61"/>
    </row>
    <row r="47" spans="1:5" ht="15.4">
      <c r="A47" s="64">
        <v>46182</v>
      </c>
      <c r="B47" s="58"/>
      <c r="C47" s="58"/>
      <c r="D47" s="58"/>
      <c r="E47" s="61"/>
    </row>
    <row r="48" spans="1:5" ht="15.4">
      <c r="A48" s="64">
        <v>46183</v>
      </c>
      <c r="B48" s="58"/>
      <c r="C48" s="58"/>
      <c r="D48" s="58"/>
      <c r="E48" s="61"/>
    </row>
    <row r="49" spans="1:5" ht="15.4">
      <c r="A49" s="64">
        <v>46184</v>
      </c>
      <c r="B49" s="58"/>
      <c r="C49" s="58"/>
      <c r="D49" s="58"/>
      <c r="E49" s="61"/>
    </row>
    <row r="50" spans="1:5" ht="15.4">
      <c r="A50" s="64">
        <v>46185</v>
      </c>
      <c r="B50" s="58"/>
      <c r="C50" s="58"/>
      <c r="D50" s="58"/>
      <c r="E50" s="61"/>
    </row>
    <row r="51" spans="1:5" ht="15.4">
      <c r="A51" s="64">
        <v>46186</v>
      </c>
      <c r="B51" s="58"/>
      <c r="C51" s="58"/>
      <c r="D51" s="58"/>
      <c r="E51" s="61"/>
    </row>
    <row r="52" spans="1:5" ht="15.4">
      <c r="A52" s="64">
        <v>46187</v>
      </c>
      <c r="B52" s="58"/>
      <c r="C52" s="58"/>
      <c r="D52" s="58"/>
      <c r="E52" s="61"/>
    </row>
    <row r="53" spans="1:5" ht="15.4">
      <c r="A53" s="64">
        <v>46188</v>
      </c>
      <c r="B53" s="58"/>
      <c r="C53" s="58"/>
      <c r="D53" s="58"/>
      <c r="E53" s="61"/>
    </row>
    <row r="54" spans="1:5" ht="15.4">
      <c r="A54" s="64">
        <v>46189</v>
      </c>
      <c r="B54" s="58"/>
      <c r="C54" s="58"/>
      <c r="D54" s="58"/>
      <c r="E54" s="61"/>
    </row>
    <row r="55" spans="1:5" ht="15.4">
      <c r="A55" s="64">
        <v>46190</v>
      </c>
      <c r="B55" s="58"/>
      <c r="C55" s="58"/>
      <c r="D55" s="58"/>
      <c r="E55" s="61"/>
    </row>
    <row r="56" spans="1:5" ht="15.4">
      <c r="A56" s="64">
        <v>46191</v>
      </c>
      <c r="B56" s="58"/>
      <c r="C56" s="58"/>
      <c r="D56" s="58"/>
      <c r="E56" s="61"/>
    </row>
    <row r="57" spans="1:5" ht="15.4">
      <c r="A57" s="64">
        <v>46192</v>
      </c>
      <c r="B57" s="58"/>
      <c r="C57" s="58"/>
      <c r="D57" s="58"/>
      <c r="E57" s="61"/>
    </row>
    <row r="58" spans="1:5" ht="15.4">
      <c r="A58" s="64">
        <v>46193</v>
      </c>
      <c r="B58" s="58"/>
      <c r="C58" s="58"/>
      <c r="D58" s="58"/>
      <c r="E58" s="61"/>
    </row>
    <row r="59" spans="1:5" ht="15.4">
      <c r="A59" s="64">
        <v>46194</v>
      </c>
      <c r="B59" s="58"/>
      <c r="C59" s="58"/>
      <c r="D59" s="58"/>
      <c r="E59" s="61"/>
    </row>
    <row r="60" spans="1:5" ht="15.4">
      <c r="A60" s="64">
        <v>46195</v>
      </c>
      <c r="B60" s="58"/>
      <c r="C60" s="58"/>
      <c r="D60" s="58"/>
      <c r="E60" s="61"/>
    </row>
    <row r="61" spans="1:5" ht="15.4">
      <c r="A61" s="64">
        <v>46196</v>
      </c>
      <c r="B61" s="58"/>
      <c r="C61" s="58"/>
      <c r="D61" s="58"/>
      <c r="E61" s="61"/>
    </row>
    <row r="62" spans="1:5" ht="15.4">
      <c r="A62" s="64">
        <v>46197</v>
      </c>
      <c r="B62" s="58"/>
      <c r="C62" s="58"/>
      <c r="D62" s="58"/>
      <c r="E62" s="61"/>
    </row>
    <row r="63" spans="1:5" ht="15.4">
      <c r="A63" s="64">
        <v>46198</v>
      </c>
      <c r="B63" s="58"/>
      <c r="C63" s="58"/>
      <c r="D63" s="58"/>
      <c r="E63" s="61"/>
    </row>
    <row r="64" spans="1:5" ht="15.4">
      <c r="A64" s="64">
        <v>46199</v>
      </c>
      <c r="B64" s="58"/>
      <c r="C64" s="58"/>
      <c r="D64" s="58"/>
      <c r="E64" s="61"/>
    </row>
    <row r="65" spans="1:5" ht="15.4">
      <c r="A65" s="64">
        <v>46200</v>
      </c>
      <c r="B65" s="58"/>
      <c r="C65" s="58"/>
      <c r="D65" s="58"/>
      <c r="E65" s="61"/>
    </row>
    <row r="66" spans="1:5" ht="15.4">
      <c r="A66" s="64">
        <v>46201</v>
      </c>
      <c r="B66" s="58"/>
      <c r="C66" s="58"/>
      <c r="D66" s="58"/>
      <c r="E66" s="61"/>
    </row>
    <row r="67" spans="1:5" ht="15.4">
      <c r="A67" s="64">
        <v>46202</v>
      </c>
      <c r="B67" s="58"/>
      <c r="C67" s="58"/>
      <c r="D67" s="58"/>
      <c r="E67" s="61"/>
    </row>
    <row r="68" spans="1:5" ht="15.4">
      <c r="A68" s="64">
        <v>46203</v>
      </c>
      <c r="B68" s="58"/>
      <c r="C68" s="58"/>
      <c r="D68" s="58"/>
      <c r="E68" s="61"/>
    </row>
    <row r="69" spans="1:5" ht="15.4">
      <c r="A69" s="64">
        <v>46204</v>
      </c>
      <c r="B69" s="58"/>
      <c r="C69" s="58"/>
      <c r="D69" s="58"/>
      <c r="E69" s="61"/>
    </row>
    <row r="70" spans="1:5" ht="15.4">
      <c r="A70" s="64">
        <v>46205</v>
      </c>
      <c r="B70" s="58"/>
      <c r="C70" s="58"/>
      <c r="D70" s="58"/>
      <c r="E70" s="61"/>
    </row>
    <row r="71" spans="1:5" ht="15.4">
      <c r="A71" s="64">
        <v>46206</v>
      </c>
      <c r="B71" s="58"/>
      <c r="C71" s="58"/>
      <c r="D71" s="58"/>
      <c r="E71" s="61"/>
    </row>
    <row r="72" spans="1:5" ht="15.4">
      <c r="A72" s="64">
        <v>46207</v>
      </c>
      <c r="B72" s="58"/>
      <c r="C72" s="58"/>
      <c r="D72" s="58"/>
      <c r="E72" s="61"/>
    </row>
    <row r="73" spans="1:5" ht="15.4">
      <c r="A73" s="64">
        <v>46208</v>
      </c>
      <c r="B73" s="58"/>
      <c r="C73" s="58"/>
      <c r="D73" s="58"/>
      <c r="E73" s="61"/>
    </row>
    <row r="74" spans="1:5" ht="15.4">
      <c r="A74" s="64">
        <v>46209</v>
      </c>
      <c r="B74" s="58"/>
      <c r="C74" s="58"/>
      <c r="D74" s="58"/>
      <c r="E74" s="61"/>
    </row>
    <row r="75" spans="1:5" ht="15.4">
      <c r="A75" s="64">
        <v>46210</v>
      </c>
      <c r="B75" s="58"/>
      <c r="C75" s="58"/>
      <c r="D75" s="58"/>
      <c r="E75" s="61"/>
    </row>
    <row r="76" spans="1:5" ht="15.4">
      <c r="A76" s="64">
        <v>46211</v>
      </c>
      <c r="B76" s="58"/>
      <c r="C76" s="58"/>
      <c r="D76" s="58"/>
      <c r="E76" s="61"/>
    </row>
    <row r="77" spans="1:5" ht="15.4">
      <c r="A77" s="64">
        <v>46212</v>
      </c>
      <c r="B77" s="58"/>
      <c r="C77" s="58"/>
      <c r="D77" s="58"/>
      <c r="E77" s="61"/>
    </row>
    <row r="78" spans="1:5" ht="15.4">
      <c r="A78" s="64">
        <v>46213</v>
      </c>
      <c r="B78" s="58"/>
      <c r="C78" s="58"/>
      <c r="D78" s="58"/>
      <c r="E78" s="61"/>
    </row>
    <row r="79" spans="1:5" ht="15.4">
      <c r="A79" s="64">
        <v>46214</v>
      </c>
      <c r="B79" s="58"/>
      <c r="C79" s="58"/>
      <c r="D79" s="58"/>
      <c r="E79" s="61"/>
    </row>
    <row r="80" spans="1:5" ht="15.4">
      <c r="A80" s="64">
        <v>46215</v>
      </c>
      <c r="B80" s="58"/>
      <c r="C80" s="58"/>
      <c r="D80" s="58"/>
      <c r="E80" s="61"/>
    </row>
    <row r="81" spans="1:5" ht="15.4">
      <c r="A81" s="64">
        <v>46216</v>
      </c>
      <c r="B81" s="58"/>
      <c r="C81" s="58"/>
      <c r="D81" s="58"/>
      <c r="E81" s="61"/>
    </row>
    <row r="82" spans="1:5" ht="15.4">
      <c r="A82" s="64">
        <v>46217</v>
      </c>
      <c r="B82" s="58"/>
      <c r="C82" s="58"/>
      <c r="D82" s="58"/>
      <c r="E82" s="61"/>
    </row>
    <row r="83" spans="1:5" ht="15.4">
      <c r="A83" s="64">
        <v>46218</v>
      </c>
      <c r="B83" s="58"/>
      <c r="C83" s="58"/>
      <c r="D83" s="58"/>
      <c r="E83" s="61"/>
    </row>
    <row r="84" spans="1:5" ht="15.4">
      <c r="A84" s="64">
        <v>46219</v>
      </c>
      <c r="B84" s="58"/>
      <c r="C84" s="58"/>
      <c r="D84" s="58"/>
      <c r="E84" s="61"/>
    </row>
    <row r="85" spans="1:5" ht="15.4">
      <c r="A85" s="64">
        <v>46220</v>
      </c>
      <c r="B85" s="58"/>
      <c r="C85" s="58"/>
      <c r="D85" s="58"/>
      <c r="E85" s="61"/>
    </row>
    <row r="86" spans="1:5" ht="15.4">
      <c r="A86" s="64">
        <v>46221</v>
      </c>
      <c r="B86" s="58"/>
      <c r="C86" s="58"/>
      <c r="D86" s="58"/>
      <c r="E86" s="61"/>
    </row>
    <row r="87" spans="1:5" ht="15.4">
      <c r="A87" s="64">
        <v>46222</v>
      </c>
      <c r="B87" s="58"/>
      <c r="C87" s="58"/>
      <c r="D87" s="58"/>
      <c r="E87" s="61"/>
    </row>
    <row r="88" spans="1:5" ht="15.4">
      <c r="A88" s="64">
        <v>46223</v>
      </c>
      <c r="B88" s="58"/>
      <c r="C88" s="58"/>
      <c r="D88" s="58"/>
      <c r="E88" s="61"/>
    </row>
    <row r="89" spans="1:5" ht="15.4">
      <c r="A89" s="64">
        <v>46224</v>
      </c>
      <c r="B89" s="58"/>
      <c r="C89" s="58"/>
      <c r="D89" s="58"/>
      <c r="E89" s="61"/>
    </row>
    <row r="90" spans="1:5" ht="15.4">
      <c r="A90" s="64">
        <v>46225</v>
      </c>
      <c r="B90" s="58"/>
      <c r="C90" s="58"/>
      <c r="D90" s="58"/>
      <c r="E90" s="61"/>
    </row>
    <row r="91" spans="1:5" ht="15.4">
      <c r="A91" s="64">
        <v>46226</v>
      </c>
      <c r="B91" s="58"/>
      <c r="C91" s="58"/>
      <c r="D91" s="58"/>
      <c r="E91" s="61"/>
    </row>
    <row r="92" spans="1:5" ht="15.4">
      <c r="A92" s="64">
        <v>46227</v>
      </c>
      <c r="B92" s="58"/>
      <c r="C92" s="58"/>
      <c r="D92" s="58"/>
      <c r="E92" s="61"/>
    </row>
    <row r="93" spans="1:5" ht="15.4">
      <c r="A93" s="64">
        <v>46228</v>
      </c>
      <c r="B93" s="58"/>
      <c r="C93" s="58"/>
      <c r="D93" s="58"/>
      <c r="E93" s="61"/>
    </row>
  </sheetData>
  <mergeCells count="3">
    <mergeCell ref="C2:E5"/>
    <mergeCell ref="B6:C6"/>
    <mergeCell ref="D6:E6"/>
  </mergeCells>
  <pageMargins left="0.51181102362204722" right="0.51181102362204722" top="0.55118110236220474" bottom="0.55118110236220474" header="0.31496062992125984" footer="0.31496062992125984"/>
  <pageSetup scale="32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3D6E82383C8B40A3094AFB3BA614FD" ma:contentTypeVersion="16" ma:contentTypeDescription="Create a new document." ma:contentTypeScope="" ma:versionID="6b77ee1a877a4fdda801f2fc8c48aefc">
  <xsd:schema xmlns:xsd="http://www.w3.org/2001/XMLSchema" xmlns:xs="http://www.w3.org/2001/XMLSchema" xmlns:p="http://schemas.microsoft.com/office/2006/metadata/properties" xmlns:ns2="9140daf3-b17c-4d0b-be2e-0a12b28659ba" xmlns:ns3="ea9ac20b-8dc5-49c1-a68a-30fc4d6930a1" targetNamespace="http://schemas.microsoft.com/office/2006/metadata/properties" ma:root="true" ma:fieldsID="e66a85ae37b3b90be51a06ebc4d6d996" ns2:_="" ns3:_="">
    <xsd:import namespace="9140daf3-b17c-4d0b-be2e-0a12b28659ba"/>
    <xsd:import namespace="ea9ac20b-8dc5-49c1-a68a-30fc4d6930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Fech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0daf3-b17c-4d0b-be2e-0a12b28659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231ce5-edc9-4cf3-bcdc-afedc95eb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Fecha" ma:index="22" nillable="true" ma:displayName="Fecha" ma:format="DateOnly" ma:internalName="Fecha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9ac20b-8dc5-49c1-a68a-30fc4d6930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3d3110e-50f5-49a4-9188-280243a155a5}" ma:internalName="TaxCatchAll" ma:showField="CatchAllData" ma:web="ea9ac20b-8dc5-49c1-a68a-30fc4d6930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9ac20b-8dc5-49c1-a68a-30fc4d6930a1" xsi:nil="true"/>
    <lcf76f155ced4ddcb4097134ff3c332f xmlns="9140daf3-b17c-4d0b-be2e-0a12b28659ba">
      <Terms xmlns="http://schemas.microsoft.com/office/infopath/2007/PartnerControls"/>
    </lcf76f155ced4ddcb4097134ff3c332f>
    <Fecha xmlns="9140daf3-b17c-4d0b-be2e-0a12b28659ba" xsi:nil="true"/>
  </documentManagement>
</p:properties>
</file>

<file path=customXml/itemProps1.xml><?xml version="1.0" encoding="utf-8"?>
<ds:datastoreItem xmlns:ds="http://schemas.openxmlformats.org/officeDocument/2006/customXml" ds:itemID="{19C96D53-83E4-4330-A1EC-97F27C92F6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40daf3-b17c-4d0b-be2e-0a12b28659ba"/>
    <ds:schemaRef ds:uri="ea9ac20b-8dc5-49c1-a68a-30fc4d6930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CFD800-44DE-4EAD-9117-EA08D950EC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E4073B-76A2-4A9A-9708-6CC84BB7B9E8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3C1F1F8F-1265-4D12-8855-EB5C49B3C9BA}">
  <ds:schemaRefs>
    <ds:schemaRef ds:uri="http://www.w3.org/XML/1998/namespace"/>
    <ds:schemaRef ds:uri="9140daf3-b17c-4d0b-be2e-0a12b28659ba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ea9ac20b-8dc5-49c1-a68a-30fc4d6930a1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Base General OR_Inicial</vt:lpstr>
      <vt:lpstr>Gráficas_General</vt:lpstr>
      <vt:lpstr>TD </vt:lpstr>
      <vt:lpstr>Base General_OR_Inicial</vt:lpstr>
      <vt:lpstr>Base</vt:lpstr>
      <vt:lpstr>TD</vt:lpstr>
      <vt:lpstr>Hoja3</vt:lpstr>
      <vt:lpstr>Hoja1</vt:lpstr>
      <vt:lpstr>Proyectado Obras Civiles</vt:lpstr>
      <vt:lpstr>Proyectado Internas</vt:lpstr>
      <vt:lpstr>Proyectado Usuarios</vt:lpstr>
      <vt:lpstr>Proyectado Potencia</vt:lpstr>
      <vt:lpstr>Reportado Obras Civiles</vt:lpstr>
      <vt:lpstr>Reportado Internas</vt:lpstr>
      <vt:lpstr>Reportado Usuarios</vt:lpstr>
      <vt:lpstr>Reportado Potencia</vt:lpstr>
      <vt:lpstr>Seguimiento Diario</vt:lpstr>
      <vt:lpstr>Curva S_GECELCA</vt:lpstr>
      <vt:lpstr>Curva S_Becerril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ALBERTO ENRIQUE FALQUEZ FIGUEROA</dc:creator>
  <cp:keywords/>
  <dc:description/>
  <cp:lastModifiedBy>ALBERTO ENRIQUE FALQUEZ FIGUEROA</cp:lastModifiedBy>
  <cp:revision/>
  <dcterms:created xsi:type="dcterms:W3CDTF">2026-05-06T20:55:26Z</dcterms:created>
  <dcterms:modified xsi:type="dcterms:W3CDTF">2026-05-26T20:58:28Z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0x010100FD3D6E82383C8B40A3094AFB3BA614FD</vt:lpwstr>
  </property>
  <property fmtid="{D5CDD505-2E9C-101B-9397-08002B2CF9AE}" pid="3" name="MediaServiceImageTags">
    <vt:lpwstr/>
  </property>
</Properties>
</file>